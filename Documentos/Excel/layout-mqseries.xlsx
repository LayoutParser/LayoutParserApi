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https://cnhind-my.sharepoint.com/personal/leonardo_fialho_cnhind_com/Documents/PROJETOS/PRJ - REFORMA TRIBUTÁRIA (WAVE 1)/"/>
    </mc:Choice>
  </mc:AlternateContent>
  <xr:revisionPtr revIDLastSave="502" documentId="8_{62497376-2EF8-4636-B924-4C58FCCFD275}" xr6:coauthVersionLast="47" xr6:coauthVersionMax="47" xr10:uidLastSave="{00FFD587-07A8-4678-95D1-335FFD4A7E0C}"/>
  <bookViews>
    <workbookView xWindow="28680" yWindow="-120" windowWidth="29040" windowHeight="15720" tabRatio="840" firstSheet="1" activeTab="1" xr2:uid="{00000000-000D-0000-FFFF-FFFF00000000}"/>
  </bookViews>
  <sheets>
    <sheet name="Diagrama-File" sheetId="3" state="hidden" r:id="rId1"/>
    <sheet name="Layout-Emissão-XML-4.00" sheetId="7" r:id="rId2"/>
    <sheet name="Planilha4" sheetId="19" r:id="rId3"/>
    <sheet name="Planilha2" sheetId="18" state="hidden" r:id="rId4"/>
    <sheet name="Planilha3" sheetId="17" state="hidden" r:id="rId5"/>
    <sheet name="Planilha1" sheetId="15" state="hidden" r:id="rId6"/>
    <sheet name="Detalhe-CST-ICMS" sheetId="13" state="hidden" r:id="rId7"/>
    <sheet name="Regra-CST 40 41 e 50" sheetId="12" state="hidden" r:id="rId8"/>
    <sheet name="Layout-Receb-XML-3.10" sheetId="11" state="hidden" r:id="rId9"/>
    <sheet name="LogicaANFAVEA_Marelli" sheetId="9" state="hidden" r:id="rId10"/>
    <sheet name="LogicaANFAVEA_Teksid" sheetId="14" state="hidden" r:id="rId11"/>
  </sheets>
  <definedNames>
    <definedName name="_xlnm.Print_Area" localSheetId="0">'Diagrama-File'!$A$1:$O$77</definedName>
    <definedName name="_xlnm.Print_Titles" localSheetId="1">'Layout-Emissão-XML-4.00'!$1:$5</definedName>
    <definedName name="_xlnm.Print_Titles" localSheetId="8">'Layout-Receb-XML-3.10'!$1:$5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692" i="7" l="1"/>
  <c r="G692" i="7"/>
  <c r="A697" i="7"/>
  <c r="A698" i="7" s="1"/>
  <c r="A699" i="7" s="1"/>
  <c r="A700" i="7" s="1"/>
  <c r="A701" i="7" s="1"/>
  <c r="A702" i="7" s="1"/>
  <c r="A703" i="7" s="1"/>
  <c r="A704" i="7" s="1"/>
  <c r="A705" i="7" s="1"/>
  <c r="A707" i="7"/>
  <c r="A708" i="7" s="1"/>
  <c r="A712" i="7"/>
  <c r="A713" i="7" s="1"/>
  <c r="A714" i="7" s="1"/>
  <c r="A715" i="7" s="1"/>
  <c r="A716" i="7" s="1"/>
  <c r="A81" i="7"/>
  <c r="G695" i="7" l="1"/>
  <c r="H695" i="7"/>
  <c r="H696" i="7" s="1"/>
  <c r="G697" i="7" s="1"/>
  <c r="A719" i="7"/>
  <c r="G696" i="7" l="1"/>
  <c r="H697" i="7"/>
  <c r="G698" i="7" s="1"/>
  <c r="A588" i="7"/>
  <c r="H698" i="7" l="1"/>
  <c r="G699" i="7" s="1"/>
  <c r="H587" i="7"/>
  <c r="G588" i="7" s="1"/>
  <c r="G587" i="7"/>
  <c r="H665" i="7"/>
  <c r="G666" i="7" s="1"/>
  <c r="G665" i="7"/>
  <c r="H604" i="7"/>
  <c r="H605" i="7" s="1"/>
  <c r="H606" i="7" s="1"/>
  <c r="G604" i="7"/>
  <c r="H655" i="7"/>
  <c r="G656" i="7" s="1"/>
  <c r="G655" i="7"/>
  <c r="I601" i="7"/>
  <c r="H699" i="7" l="1"/>
  <c r="G700" i="7" s="1"/>
  <c r="H607" i="7"/>
  <c r="G607" i="7"/>
  <c r="H588" i="7"/>
  <c r="H666" i="7"/>
  <c r="G605" i="7"/>
  <c r="H656" i="7"/>
  <c r="G606" i="7"/>
  <c r="H700" i="7" l="1"/>
  <c r="H701" i="7" s="1"/>
  <c r="G608" i="7"/>
  <c r="H608" i="7"/>
  <c r="G589" i="7"/>
  <c r="I589" i="7"/>
  <c r="H667" i="7"/>
  <c r="G667" i="7"/>
  <c r="G657" i="7"/>
  <c r="H657" i="7"/>
  <c r="G701" i="7" l="1"/>
  <c r="G702" i="7"/>
  <c r="H702" i="7"/>
  <c r="G609" i="7"/>
  <c r="H609" i="7"/>
  <c r="H668" i="7"/>
  <c r="G668" i="7"/>
  <c r="G658" i="7"/>
  <c r="H658" i="7"/>
  <c r="G703" i="7" l="1"/>
  <c r="H703" i="7"/>
  <c r="G610" i="7"/>
  <c r="H610" i="7"/>
  <c r="G669" i="7"/>
  <c r="H669" i="7"/>
  <c r="H659" i="7"/>
  <c r="G659" i="7"/>
  <c r="G704" i="7" l="1"/>
  <c r="H704" i="7"/>
  <c r="G611" i="7"/>
  <c r="H611" i="7"/>
  <c r="H670" i="7"/>
  <c r="G670" i="7"/>
  <c r="G660" i="7"/>
  <c r="H660" i="7"/>
  <c r="G705" i="7" l="1"/>
  <c r="H705" i="7"/>
  <c r="G612" i="7"/>
  <c r="H612" i="7"/>
  <c r="G671" i="7"/>
  <c r="H671" i="7"/>
  <c r="G661" i="7"/>
  <c r="H661" i="7"/>
  <c r="G706" i="7" l="1"/>
  <c r="H706" i="7"/>
  <c r="G613" i="7"/>
  <c r="H613" i="7"/>
  <c r="G672" i="7"/>
  <c r="H672" i="7"/>
  <c r="I662" i="7"/>
  <c r="G662" i="7"/>
  <c r="G707" i="7" l="1"/>
  <c r="H707" i="7"/>
  <c r="G614" i="7"/>
  <c r="H614" i="7"/>
  <c r="H673" i="7"/>
  <c r="G673" i="7"/>
  <c r="G708" i="7" l="1"/>
  <c r="H708" i="7"/>
  <c r="H615" i="7"/>
  <c r="G615" i="7"/>
  <c r="G674" i="7"/>
  <c r="H674" i="7"/>
  <c r="H709" i="7" l="1"/>
  <c r="G709" i="7"/>
  <c r="H616" i="7"/>
  <c r="G616" i="7"/>
  <c r="G675" i="7"/>
  <c r="H675" i="7"/>
  <c r="H710" i="7" l="1"/>
  <c r="G710" i="7"/>
  <c r="G617" i="7"/>
  <c r="H617" i="7"/>
  <c r="G676" i="7"/>
  <c r="H676" i="7"/>
  <c r="H711" i="7" l="1"/>
  <c r="G711" i="7"/>
  <c r="G618" i="7"/>
  <c r="H618" i="7"/>
  <c r="G677" i="7"/>
  <c r="H677" i="7"/>
  <c r="H712" i="7" l="1"/>
  <c r="G712" i="7"/>
  <c r="H619" i="7"/>
  <c r="G619" i="7"/>
  <c r="G678" i="7"/>
  <c r="H678" i="7"/>
  <c r="G713" i="7" l="1"/>
  <c r="H713" i="7"/>
  <c r="G620" i="7"/>
  <c r="H620" i="7"/>
  <c r="H679" i="7"/>
  <c r="G679" i="7"/>
  <c r="G714" i="7" l="1"/>
  <c r="H714" i="7"/>
  <c r="G621" i="7"/>
  <c r="H621" i="7"/>
  <c r="H680" i="7"/>
  <c r="G680" i="7"/>
  <c r="G715" i="7" l="1"/>
  <c r="H715" i="7"/>
  <c r="G622" i="7"/>
  <c r="H622" i="7"/>
  <c r="H681" i="7"/>
  <c r="G681" i="7"/>
  <c r="G716" i="7" l="1"/>
  <c r="H716" i="7"/>
  <c r="H623" i="7"/>
  <c r="G623" i="7"/>
  <c r="H682" i="7"/>
  <c r="G682" i="7"/>
  <c r="G717" i="7" l="1"/>
  <c r="H717" i="7"/>
  <c r="G624" i="7"/>
  <c r="H624" i="7"/>
  <c r="H683" i="7"/>
  <c r="G683" i="7"/>
  <c r="H718" i="7" l="1"/>
  <c r="G718" i="7"/>
  <c r="H625" i="7"/>
  <c r="G625" i="7"/>
  <c r="H684" i="7"/>
  <c r="G684" i="7"/>
  <c r="H719" i="7" l="1"/>
  <c r="G719" i="7"/>
  <c r="G626" i="7"/>
  <c r="H626" i="7"/>
  <c r="H685" i="7"/>
  <c r="G685" i="7"/>
  <c r="I720" i="7" l="1"/>
  <c r="G720" i="7"/>
  <c r="G627" i="7"/>
  <c r="H627" i="7"/>
  <c r="H686" i="7"/>
  <c r="G686" i="7"/>
  <c r="G687" i="7" l="1"/>
  <c r="H687" i="7"/>
  <c r="G628" i="7"/>
  <c r="H628" i="7"/>
  <c r="G688" i="7" l="1"/>
  <c r="H688" i="7"/>
  <c r="G629" i="7"/>
  <c r="H629" i="7"/>
  <c r="H689" i="7" l="1"/>
  <c r="G689" i="7"/>
  <c r="G630" i="7"/>
  <c r="H630" i="7"/>
  <c r="H690" i="7" l="1"/>
  <c r="G690" i="7"/>
  <c r="H631" i="7"/>
  <c r="G631" i="7"/>
  <c r="G691" i="7" l="1"/>
  <c r="H691" i="7"/>
  <c r="G632" i="7"/>
  <c r="H632" i="7"/>
  <c r="G633" i="7" l="1"/>
  <c r="H633" i="7"/>
  <c r="G634" i="7" l="1"/>
  <c r="H634" i="7"/>
  <c r="H635" i="7" l="1"/>
  <c r="G635" i="7"/>
  <c r="G636" i="7" l="1"/>
  <c r="H636" i="7"/>
  <c r="E2" i="15"/>
  <c r="E3" i="15" s="1"/>
  <c r="D2" i="15"/>
  <c r="G637" i="7" l="1"/>
  <c r="H637" i="7"/>
  <c r="D3" i="15"/>
  <c r="I176" i="7"/>
  <c r="G638" i="7" l="1"/>
  <c r="H638" i="7"/>
  <c r="A135" i="7"/>
  <c r="A136" i="7" s="1"/>
  <c r="A137" i="7" s="1"/>
  <c r="A138" i="7" s="1"/>
  <c r="A139" i="7" s="1"/>
  <c r="A140" i="7" s="1"/>
  <c r="A141" i="7" s="1"/>
  <c r="A142" i="7" s="1"/>
  <c r="A143" i="7" s="1"/>
  <c r="A144" i="7" s="1"/>
  <c r="A145" i="7" s="1"/>
  <c r="A146" i="7" s="1"/>
  <c r="A147" i="7" s="1"/>
  <c r="A148" i="7" s="1"/>
  <c r="A149" i="7" s="1"/>
  <c r="A150" i="7" s="1"/>
  <c r="A151" i="7" s="1"/>
  <c r="A152" i="7" s="1"/>
  <c r="A154" i="7" s="1"/>
  <c r="A155" i="7" s="1"/>
  <c r="A156" i="7" s="1"/>
  <c r="A157" i="7" s="1"/>
  <c r="A158" i="7" s="1"/>
  <c r="A159" i="7" s="1"/>
  <c r="A160" i="7" s="1"/>
  <c r="A161" i="7" s="1"/>
  <c r="A162" i="7" s="1"/>
  <c r="A163" i="7" s="1"/>
  <c r="A164" i="7" s="1"/>
  <c r="A165" i="7" s="1"/>
  <c r="A166" i="7" s="1"/>
  <c r="A167" i="7" s="1"/>
  <c r="A168" i="7" s="1"/>
  <c r="A169" i="7" s="1"/>
  <c r="A170" i="7" s="1"/>
  <c r="A171" i="7" s="1"/>
  <c r="A172" i="7" s="1"/>
  <c r="A174" i="7" s="1"/>
  <c r="A175" i="7" s="1"/>
  <c r="A176" i="7" s="1"/>
  <c r="A178" i="7" s="1"/>
  <c r="A179" i="7" s="1"/>
  <c r="A180" i="7" s="1"/>
  <c r="A181" i="7" s="1"/>
  <c r="A183" i="7" s="1"/>
  <c r="A184" i="7" s="1"/>
  <c r="A185" i="7" s="1"/>
  <c r="A186" i="7" s="1"/>
  <c r="A187" i="7" s="1"/>
  <c r="A188" i="7" s="1"/>
  <c r="A189" i="7" s="1"/>
  <c r="A190" i="7" s="1"/>
  <c r="A191" i="7" s="1"/>
  <c r="A192" i="7" s="1"/>
  <c r="A193" i="7" s="1"/>
  <c r="A194" i="7" s="1"/>
  <c r="A195" i="7" s="1"/>
  <c r="A196" i="7" s="1"/>
  <c r="A197" i="7" s="1"/>
  <c r="A198" i="7" s="1"/>
  <c r="A199" i="7" s="1"/>
  <c r="A200" i="7" s="1"/>
  <c r="A201" i="7" s="1"/>
  <c r="A202" i="7" s="1"/>
  <c r="A203" i="7" s="1"/>
  <c r="A204" i="7" s="1"/>
  <c r="A205" i="7" s="1"/>
  <c r="A206" i="7" s="1"/>
  <c r="A207" i="7" s="1"/>
  <c r="A208" i="7" s="1"/>
  <c r="A209" i="7" s="1"/>
  <c r="A210" i="7" s="1"/>
  <c r="A211" i="7" s="1"/>
  <c r="A212" i="7" s="1"/>
  <c r="A213" i="7" s="1"/>
  <c r="A214" i="7" s="1"/>
  <c r="A215" i="7" s="1"/>
  <c r="G639" i="7" l="1"/>
  <c r="H639" i="7"/>
  <c r="A222" i="7"/>
  <c r="A223" i="7" s="1"/>
  <c r="A224" i="7" s="1"/>
  <c r="A225" i="7" s="1"/>
  <c r="A226" i="7" s="1"/>
  <c r="A227" i="7" s="1"/>
  <c r="A228" i="7" s="1"/>
  <c r="A229" i="7" s="1"/>
  <c r="A230" i="7" s="1"/>
  <c r="A231" i="7" s="1"/>
  <c r="A232" i="7" s="1"/>
  <c r="A233" i="7" s="1"/>
  <c r="A234" i="7" s="1"/>
  <c r="A235" i="7" s="1"/>
  <c r="A236" i="7" s="1"/>
  <c r="A216" i="7"/>
  <c r="A240" i="7"/>
  <c r="A241" i="7" s="1"/>
  <c r="A242" i="7" s="1"/>
  <c r="A243" i="7" s="1"/>
  <c r="A244" i="7" s="1"/>
  <c r="A245" i="7" s="1"/>
  <c r="A246" i="7" s="1"/>
  <c r="A247" i="7" s="1"/>
  <c r="A248" i="7" s="1"/>
  <c r="A249" i="7" s="1"/>
  <c r="A251" i="7" s="1"/>
  <c r="A252" i="7" s="1"/>
  <c r="A253" i="7" s="1"/>
  <c r="A254" i="7" s="1"/>
  <c r="A255" i="7" s="1"/>
  <c r="A256" i="7" s="1"/>
  <c r="A257" i="7" s="1"/>
  <c r="A258" i="7" s="1"/>
  <c r="A259" i="7" s="1"/>
  <c r="A260" i="7" s="1"/>
  <c r="A261" i="7" s="1"/>
  <c r="A262" i="7" s="1"/>
  <c r="A263" i="7" s="1"/>
  <c r="A264" i="7" s="1"/>
  <c r="A265" i="7" s="1"/>
  <c r="A266" i="7" s="1"/>
  <c r="A267" i="7" s="1"/>
  <c r="A268" i="7" s="1"/>
  <c r="A269" i="7" s="1"/>
  <c r="A270" i="7" s="1"/>
  <c r="A271" i="7" s="1"/>
  <c r="A272" i="7" s="1"/>
  <c r="A273" i="7" s="1"/>
  <c r="A274" i="7" s="1"/>
  <c r="A275" i="7" s="1"/>
  <c r="A276" i="7" s="1"/>
  <c r="A277" i="7" s="1"/>
  <c r="A278" i="7" s="1"/>
  <c r="A279" i="7" s="1"/>
  <c r="A281" i="7" s="1"/>
  <c r="A282" i="7" s="1"/>
  <c r="A283" i="7" s="1"/>
  <c r="A284" i="7" s="1"/>
  <c r="A285" i="7" s="1"/>
  <c r="A286" i="7" s="1"/>
  <c r="A287" i="7" s="1"/>
  <c r="A288" i="7" s="1"/>
  <c r="A289" i="7" s="1"/>
  <c r="A291" i="7" s="1"/>
  <c r="A292" i="7" s="1"/>
  <c r="A293" i="7" s="1"/>
  <c r="A294" i="7" s="1"/>
  <c r="A295" i="7" s="1"/>
  <c r="A296" i="7" s="1"/>
  <c r="A297" i="7" s="1"/>
  <c r="A298" i="7" s="1"/>
  <c r="A299" i="7" s="1"/>
  <c r="A300" i="7" s="1"/>
  <c r="A301" i="7" s="1"/>
  <c r="A302" i="7" s="1"/>
  <c r="A303" i="7" s="1"/>
  <c r="A304" i="7" s="1"/>
  <c r="A305" i="7" s="1"/>
  <c r="A306" i="7" s="1"/>
  <c r="A307" i="7" s="1"/>
  <c r="A308" i="7" s="1"/>
  <c r="A309" i="7" s="1"/>
  <c r="A310" i="7" s="1"/>
  <c r="A311" i="7" s="1"/>
  <c r="A312" i="7" s="1"/>
  <c r="A313" i="7" s="1"/>
  <c r="A314" i="7" s="1"/>
  <c r="A315" i="7" s="1"/>
  <c r="A316" i="7" s="1"/>
  <c r="A317" i="7" s="1"/>
  <c r="A318" i="7" s="1"/>
  <c r="A319" i="7" s="1"/>
  <c r="A320" i="7" s="1"/>
  <c r="A321" i="7" s="1"/>
  <c r="A322" i="7" s="1"/>
  <c r="A323" i="7" s="1"/>
  <c r="A324" i="7" s="1"/>
  <c r="A325" i="7" s="1"/>
  <c r="A326" i="7" s="1"/>
  <c r="A327" i="7" s="1"/>
  <c r="A328" i="7" s="1"/>
  <c r="A329" i="7" s="1"/>
  <c r="A330" i="7" s="1"/>
  <c r="A331" i="7" s="1"/>
  <c r="A332" i="7" s="1"/>
  <c r="A333" i="7" s="1"/>
  <c r="A334" i="7" s="1"/>
  <c r="A335" i="7" s="1"/>
  <c r="A336" i="7" s="1"/>
  <c r="A337" i="7" s="1"/>
  <c r="A338" i="7" s="1"/>
  <c r="A339" i="7" s="1"/>
  <c r="A340" i="7" s="1"/>
  <c r="A341" i="7" s="1"/>
  <c r="A342" i="7" s="1"/>
  <c r="A343" i="7" s="1"/>
  <c r="A344" i="7" s="1"/>
  <c r="A345" i="7" s="1"/>
  <c r="A346" i="7" s="1"/>
  <c r="A347" i="7" s="1"/>
  <c r="A348" i="7" s="1"/>
  <c r="A349" i="7" s="1"/>
  <c r="A350" i="7" s="1"/>
  <c r="A351" i="7" s="1"/>
  <c r="A352" i="7" s="1"/>
  <c r="A353" i="7" s="1"/>
  <c r="H843" i="7"/>
  <c r="G844" i="7" s="1"/>
  <c r="G843" i="7"/>
  <c r="G640" i="7" l="1"/>
  <c r="H640" i="7"/>
  <c r="A357" i="7"/>
  <c r="A358" i="7" s="1"/>
  <c r="A359" i="7" s="1"/>
  <c r="A360" i="7" s="1"/>
  <c r="A361" i="7" s="1"/>
  <c r="A362" i="7" s="1"/>
  <c r="A363" i="7" s="1"/>
  <c r="A364" i="7" s="1"/>
  <c r="A365" i="7" s="1"/>
  <c r="A366" i="7" s="1"/>
  <c r="A367" i="7" s="1"/>
  <c r="A368" i="7" s="1"/>
  <c r="A369" i="7" s="1"/>
  <c r="A371" i="7" s="1"/>
  <c r="A373" i="7" s="1"/>
  <c r="A374" i="7" s="1"/>
  <c r="A375" i="7" s="1"/>
  <c r="A376" i="7" s="1"/>
  <c r="A377" i="7" s="1"/>
  <c r="A378" i="7" s="1"/>
  <c r="A379" i="7" s="1"/>
  <c r="A381" i="7" s="1"/>
  <c r="A382" i="7" s="1"/>
  <c r="A383" i="7" s="1"/>
  <c r="A384" i="7" s="1"/>
  <c r="A385" i="7" s="1"/>
  <c r="A386" i="7" s="1"/>
  <c r="A387" i="7" s="1"/>
  <c r="A388" i="7" s="1"/>
  <c r="A389" i="7" s="1"/>
  <c r="A391" i="7" s="1"/>
  <c r="A392" i="7" s="1"/>
  <c r="A393" i="7" s="1"/>
  <c r="A394" i="7" s="1"/>
  <c r="A395" i="7" s="1"/>
  <c r="A396" i="7" s="1"/>
  <c r="A397" i="7" s="1"/>
  <c r="A398" i="7" s="1"/>
  <c r="A399" i="7" s="1"/>
  <c r="A401" i="7" s="1"/>
  <c r="A402" i="7" s="1"/>
  <c r="A403" i="7" s="1"/>
  <c r="A404" i="7" s="1"/>
  <c r="A405" i="7" s="1"/>
  <c r="A406" i="7" s="1"/>
  <c r="A407" i="7" s="1"/>
  <c r="A408" i="7" s="1"/>
  <c r="A409" i="7" s="1"/>
  <c r="A411" i="7" s="1"/>
  <c r="A412" i="7" s="1"/>
  <c r="A413" i="7" s="1"/>
  <c r="A414" i="7" s="1"/>
  <c r="A415" i="7" s="1"/>
  <c r="A416" i="7" s="1"/>
  <c r="A417" i="7" s="1"/>
  <c r="A418" i="7" s="1"/>
  <c r="A419" i="7" s="1"/>
  <c r="A421" i="7" s="1"/>
  <c r="A422" i="7" s="1"/>
  <c r="A423" i="7" s="1"/>
  <c r="A424" i="7" s="1"/>
  <c r="A425" i="7" s="1"/>
  <c r="A426" i="7" s="1"/>
  <c r="A427" i="7" s="1"/>
  <c r="A428" i="7" s="1"/>
  <c r="A429" i="7" s="1"/>
  <c r="A430" i="7" s="1"/>
  <c r="A431" i="7" s="1"/>
  <c r="A432" i="7" s="1"/>
  <c r="A433" i="7" s="1"/>
  <c r="A434" i="7" s="1"/>
  <c r="A435" i="7" s="1"/>
  <c r="A436" i="7" s="1"/>
  <c r="A437" i="7" s="1"/>
  <c r="A438" i="7" s="1"/>
  <c r="A439" i="7" s="1"/>
  <c r="A441" i="7" s="1"/>
  <c r="A442" i="7" s="1"/>
  <c r="A443" i="7" s="1"/>
  <c r="A444" i="7" s="1"/>
  <c r="A446" i="7" s="1"/>
  <c r="A447" i="7" s="1"/>
  <c r="A448" i="7" s="1"/>
  <c r="A449" i="7" s="1"/>
  <c r="A450" i="7" s="1"/>
  <c r="A451" i="7" s="1"/>
  <c r="A452" i="7" s="1"/>
  <c r="A453" i="7" s="1"/>
  <c r="A454" i="7" s="1"/>
  <c r="A455" i="7" s="1"/>
  <c r="A456" i="7" s="1"/>
  <c r="A457" i="7" s="1"/>
  <c r="A458" i="7" s="1"/>
  <c r="A459" i="7" s="1"/>
  <c r="A460" i="7" s="1"/>
  <c r="A461" i="7" s="1"/>
  <c r="A462" i="7" s="1"/>
  <c r="A463" i="7" s="1"/>
  <c r="A464" i="7" s="1"/>
  <c r="A465" i="7" s="1"/>
  <c r="A466" i="7" s="1"/>
  <c r="A467" i="7" s="1"/>
  <c r="A468" i="7" s="1"/>
  <c r="A469" i="7" s="1"/>
  <c r="A470" i="7" s="1"/>
  <c r="A471" i="7" s="1"/>
  <c r="A472" i="7" s="1"/>
  <c r="A473" i="7" s="1"/>
  <c r="A474" i="7" s="1"/>
  <c r="A475" i="7" s="1"/>
  <c r="A476" i="7" s="1"/>
  <c r="A478" i="7" s="1"/>
  <c r="A479" i="7" s="1"/>
  <c r="A480" i="7" s="1"/>
  <c r="A481" i="7" s="1"/>
  <c r="A482" i="7" s="1"/>
  <c r="A483" i="7" s="1"/>
  <c r="A484" i="7" s="1"/>
  <c r="A485" i="7" s="1"/>
  <c r="A486" i="7" s="1"/>
  <c r="A487" i="7" s="1"/>
  <c r="A488" i="7" s="1"/>
  <c r="A489" i="7" s="1"/>
  <c r="A490" i="7" s="1"/>
  <c r="A491" i="7" s="1"/>
  <c r="A492" i="7" s="1"/>
  <c r="A493" i="7" s="1"/>
  <c r="A494" i="7" s="1"/>
  <c r="A495" i="7" s="1"/>
  <c r="A496" i="7" s="1"/>
  <c r="A497" i="7" s="1"/>
  <c r="A498" i="7" s="1"/>
  <c r="A499" i="7" s="1"/>
  <c r="A500" i="7" s="1"/>
  <c r="A502" i="7" s="1"/>
  <c r="A503" i="7" s="1"/>
  <c r="A504" i="7" s="1"/>
  <c r="A505" i="7" s="1"/>
  <c r="A506" i="7" s="1"/>
  <c r="A507" i="7" s="1"/>
  <c r="A508" i="7" s="1"/>
  <c r="A509" i="7" s="1"/>
  <c r="A510" i="7" s="1"/>
  <c r="A512" i="7" s="1"/>
  <c r="A513" i="7" s="1"/>
  <c r="A514" i="7" s="1"/>
  <c r="A515" i="7" s="1"/>
  <c r="A516" i="7" s="1"/>
  <c r="A517" i="7" s="1"/>
  <c r="A518" i="7" s="1"/>
  <c r="A519" i="7" s="1"/>
  <c r="A520" i="7" s="1"/>
  <c r="A521" i="7" s="1"/>
  <c r="A522" i="7" s="1"/>
  <c r="A523" i="7" s="1"/>
  <c r="A524" i="7" s="1"/>
  <c r="A525" i="7" s="1"/>
  <c r="A526" i="7" s="1"/>
  <c r="A527" i="7" s="1"/>
  <c r="A528" i="7" s="1"/>
  <c r="A529" i="7" s="1"/>
  <c r="A530" i="7" s="1"/>
  <c r="A531" i="7" s="1"/>
  <c r="A532" i="7" s="1"/>
  <c r="A533" i="7" s="1"/>
  <c r="A534" i="7" s="1"/>
  <c r="A535" i="7" s="1"/>
  <c r="A536" i="7" s="1"/>
  <c r="A537" i="7" s="1"/>
  <c r="A538" i="7" s="1"/>
  <c r="A539" i="7" s="1"/>
  <c r="A540" i="7" s="1"/>
  <c r="A541" i="7" s="1"/>
  <c r="A542" i="7" s="1"/>
  <c r="A544" i="7" s="1"/>
  <c r="A545" i="7" s="1"/>
  <c r="A546" i="7" s="1"/>
  <c r="A547" i="7" s="1"/>
  <c r="A549" i="7" s="1"/>
  <c r="A550" i="7" s="1"/>
  <c r="A551" i="7" s="1"/>
  <c r="A552" i="7" s="1"/>
  <c r="A553" i="7" s="1"/>
  <c r="A554" i="7" s="1"/>
  <c r="A556" i="7" s="1"/>
  <c r="A557" i="7" s="1"/>
  <c r="A558" i="7" s="1"/>
  <c r="A559" i="7" s="1"/>
  <c r="A560" i="7" s="1"/>
  <c r="A561" i="7" s="1"/>
  <c r="A563" i="7" s="1"/>
  <c r="A564" i="7" s="1"/>
  <c r="A565" i="7" s="1"/>
  <c r="A566" i="7" s="1"/>
  <c r="A567" i="7" s="1"/>
  <c r="A568" i="7" s="1"/>
  <c r="A569" i="7" s="1"/>
  <c r="A570" i="7" s="1"/>
  <c r="A571" i="7" s="1"/>
  <c r="A572" i="7" s="1"/>
  <c r="A573" i="7" s="1"/>
  <c r="A574" i="7" s="1"/>
  <c r="A576" i="7" s="1"/>
  <c r="A577" i="7" s="1"/>
  <c r="A578" i="7" s="1"/>
  <c r="A579" i="7" s="1"/>
  <c r="A580" i="7" s="1"/>
  <c r="A581" i="7" s="1"/>
  <c r="A582" i="7" s="1"/>
  <c r="A583" i="7" s="1"/>
  <c r="A354" i="7"/>
  <c r="H844" i="7"/>
  <c r="I172" i="7"/>
  <c r="I152" i="7"/>
  <c r="G641" i="7" l="1"/>
  <c r="H641" i="7"/>
  <c r="A585" i="7"/>
  <c r="A589" i="7" s="1"/>
  <c r="A591" i="7" s="1"/>
  <c r="G845" i="7"/>
  <c r="I845" i="7"/>
  <c r="G642" i="7" l="1"/>
  <c r="H642" i="7"/>
  <c r="H332" i="7"/>
  <c r="H333" i="7" s="1"/>
  <c r="G332" i="7"/>
  <c r="I763" i="7"/>
  <c r="I865" i="7"/>
  <c r="I439" i="7"/>
  <c r="G473" i="11"/>
  <c r="G450" i="11"/>
  <c r="G268" i="11"/>
  <c r="G430" i="11"/>
  <c r="G195" i="11"/>
  <c r="G186" i="11"/>
  <c r="G171" i="11"/>
  <c r="G139" i="11"/>
  <c r="G108" i="11"/>
  <c r="A72" i="7"/>
  <c r="A73" i="7" s="1"/>
  <c r="A84" i="7" s="1"/>
  <c r="A85" i="7" s="1"/>
  <c r="A86" i="7" s="1"/>
  <c r="A87" i="7" s="1"/>
  <c r="A90" i="7" s="1"/>
  <c r="A91" i="7" s="1"/>
  <c r="A92" i="7" s="1"/>
  <c r="A93" i="7" s="1"/>
  <c r="A94" i="7" s="1"/>
  <c r="A95" i="7" s="1"/>
  <c r="A96" i="7" s="1"/>
  <c r="A97" i="7" s="1"/>
  <c r="A98" i="7" s="1"/>
  <c r="A99" i="7" s="1"/>
  <c r="A100" i="7" s="1"/>
  <c r="A101" i="7" s="1"/>
  <c r="A102" i="7" s="1"/>
  <c r="A103" i="7" s="1"/>
  <c r="A104" i="7" s="1"/>
  <c r="A105" i="7" s="1"/>
  <c r="A106" i="7" s="1"/>
  <c r="A107" i="7" s="1"/>
  <c r="A108" i="7" s="1"/>
  <c r="A109" i="7" s="1"/>
  <c r="A110" i="7" s="1"/>
  <c r="A112" i="7" s="1"/>
  <c r="A113" i="7" s="1"/>
  <c r="A114" i="7" s="1"/>
  <c r="A115" i="7" s="1"/>
  <c r="A116" i="7" s="1"/>
  <c r="A117" i="7" s="1"/>
  <c r="A118" i="7" s="1"/>
  <c r="A119" i="7" s="1"/>
  <c r="A120" i="7" s="1"/>
  <c r="A121" i="7" s="1"/>
  <c r="A122" i="7" s="1"/>
  <c r="A123" i="7" s="1"/>
  <c r="A124" i="7" s="1"/>
  <c r="A125" i="7" s="1"/>
  <c r="A126" i="7" s="1"/>
  <c r="A127" i="7" s="1"/>
  <c r="A128" i="7" s="1"/>
  <c r="A129" i="7" s="1"/>
  <c r="I561" i="7"/>
  <c r="H468" i="7"/>
  <c r="H467" i="7"/>
  <c r="I476" i="7" s="1"/>
  <c r="G468" i="7"/>
  <c r="F7" i="11"/>
  <c r="E8" i="11"/>
  <c r="F16" i="11"/>
  <c r="E537" i="11" s="1"/>
  <c r="A17" i="11"/>
  <c r="A18" i="11" s="1"/>
  <c r="A19" i="1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G242" i="11"/>
  <c r="G587" i="11"/>
  <c r="G597" i="11"/>
  <c r="E598" i="11"/>
  <c r="E606" i="11"/>
  <c r="F606" i="11"/>
  <c r="F607" i="11" s="1"/>
  <c r="F608" i="11" s="1"/>
  <c r="F651" i="11"/>
  <c r="E652" i="11" s="1"/>
  <c r="E367" i="11"/>
  <c r="A67" i="1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100" i="11" s="1"/>
  <c r="A101" i="11" s="1"/>
  <c r="A102" i="11" s="1"/>
  <c r="A103" i="11" s="1"/>
  <c r="A104" i="11" s="1"/>
  <c r="A105" i="11" s="1"/>
  <c r="A109" i="11"/>
  <c r="A110" i="11" s="1"/>
  <c r="A111" i="11" s="1"/>
  <c r="A112" i="11" s="1"/>
  <c r="A113" i="11" s="1"/>
  <c r="A114" i="11" s="1"/>
  <c r="A115" i="11" s="1"/>
  <c r="A116" i="11" s="1"/>
  <c r="A117" i="11" s="1"/>
  <c r="A118" i="11" s="1"/>
  <c r="A119" i="11" s="1"/>
  <c r="A120" i="11" s="1"/>
  <c r="A121" i="11" s="1"/>
  <c r="A122" i="11" s="1"/>
  <c r="A123" i="11" s="1"/>
  <c r="A124" i="11" s="1"/>
  <c r="A125" i="11" s="1"/>
  <c r="A126" i="11" s="1"/>
  <c r="A127" i="11" s="1"/>
  <c r="A128" i="11" s="1"/>
  <c r="A129" i="11" s="1"/>
  <c r="A130" i="11" s="1"/>
  <c r="A131" i="11" s="1"/>
  <c r="A132" i="11" s="1"/>
  <c r="A133" i="11" s="1"/>
  <c r="A134" i="11" s="1"/>
  <c r="A135" i="11" s="1"/>
  <c r="A136" i="11" s="1"/>
  <c r="A146" i="11"/>
  <c r="A147" i="11" s="1"/>
  <c r="A148" i="1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G467" i="7"/>
  <c r="F537" i="11"/>
  <c r="F474" i="11"/>
  <c r="E475" i="11" s="1"/>
  <c r="E474" i="11"/>
  <c r="F419" i="11"/>
  <c r="F420" i="11" s="1"/>
  <c r="E415" i="11"/>
  <c r="F425" i="11"/>
  <c r="E426" i="11" s="1"/>
  <c r="F415" i="11"/>
  <c r="E140" i="11"/>
  <c r="F140" i="11"/>
  <c r="F17" i="11"/>
  <c r="E18" i="11" s="1"/>
  <c r="E137" i="11"/>
  <c r="F137" i="11"/>
  <c r="F493" i="11"/>
  <c r="F494" i="11" s="1"/>
  <c r="E232" i="11"/>
  <c r="F643" i="11"/>
  <c r="F644" i="11" s="1"/>
  <c r="F645" i="11" s="1"/>
  <c r="E646" i="11" s="1"/>
  <c r="F172" i="11"/>
  <c r="F173" i="11" s="1"/>
  <c r="F174" i="11" s="1"/>
  <c r="F175" i="11" s="1"/>
  <c r="E176" i="11" s="1"/>
  <c r="E548" i="11"/>
  <c r="F35" i="11"/>
  <c r="E36" i="11"/>
  <c r="F109" i="11"/>
  <c r="F110" i="11" s="1"/>
  <c r="E290" i="11"/>
  <c r="F337" i="11"/>
  <c r="E338" i="11" s="1"/>
  <c r="F574" i="11"/>
  <c r="F619" i="11"/>
  <c r="F620" i="11" s="1"/>
  <c r="E621" i="11" s="1"/>
  <c r="G621" i="11" s="1"/>
  <c r="E559" i="11"/>
  <c r="F187" i="11"/>
  <c r="E188" i="11" s="1"/>
  <c r="E433" i="11"/>
  <c r="E501" i="11"/>
  <c r="F232" i="11"/>
  <c r="E233" i="11" s="1"/>
  <c r="E307" i="11"/>
  <c r="F269" i="11"/>
  <c r="E270" i="11" s="1"/>
  <c r="F559" i="11"/>
  <c r="F560" i="11" s="1"/>
  <c r="F602" i="11"/>
  <c r="G603" i="11" s="1"/>
  <c r="F579" i="11"/>
  <c r="E580" i="11" s="1"/>
  <c r="E145" i="11"/>
  <c r="F283" i="11"/>
  <c r="E284" i="11" s="1"/>
  <c r="F66" i="11"/>
  <c r="F67" i="11" s="1"/>
  <c r="F196" i="11"/>
  <c r="E197" i="11" s="1"/>
  <c r="E333" i="11"/>
  <c r="F395" i="11"/>
  <c r="E523" i="11"/>
  <c r="F224" i="11"/>
  <c r="F225" i="11" s="1"/>
  <c r="F333" i="11"/>
  <c r="F334" i="11" s="1"/>
  <c r="E335" i="11" s="1"/>
  <c r="E545" i="11"/>
  <c r="F555" i="11"/>
  <c r="F556" i="11" s="1"/>
  <c r="E572" i="11"/>
  <c r="E622" i="11"/>
  <c r="E616" i="11"/>
  <c r="E604" i="11"/>
  <c r="F545" i="11"/>
  <c r="F546" i="11" s="1"/>
  <c r="E386" i="11"/>
  <c r="F18" i="11"/>
  <c r="F19" i="11" s="1"/>
  <c r="F63" i="11"/>
  <c r="G64" i="11" s="1"/>
  <c r="F123" i="11"/>
  <c r="E196" i="11"/>
  <c r="F61" i="11"/>
  <c r="E172" i="11"/>
  <c r="F290" i="11"/>
  <c r="E291" i="11" s="1"/>
  <c r="F386" i="11"/>
  <c r="F387" i="11" s="1"/>
  <c r="E511" i="11"/>
  <c r="E316" i="11"/>
  <c r="F451" i="11"/>
  <c r="F452" i="11" s="1"/>
  <c r="E453" i="11" s="1"/>
  <c r="F551" i="11"/>
  <c r="F552" i="11" s="1"/>
  <c r="E553" i="11" s="1"/>
  <c r="E568" i="11"/>
  <c r="F640" i="11"/>
  <c r="E641" i="11" s="1"/>
  <c r="F622" i="11"/>
  <c r="F616" i="11"/>
  <c r="E617" i="11" s="1"/>
  <c r="F568" i="11"/>
  <c r="E569" i="11" s="1"/>
  <c r="F548" i="11"/>
  <c r="F549" i="11" s="1"/>
  <c r="G550" i="11" s="1"/>
  <c r="E283" i="11"/>
  <c r="E66" i="11"/>
  <c r="E61" i="11"/>
  <c r="E109" i="11"/>
  <c r="F246" i="11"/>
  <c r="E247" i="11" s="1"/>
  <c r="E123" i="11"/>
  <c r="E246" i="11"/>
  <c r="E368" i="11"/>
  <c r="E451" i="11"/>
  <c r="F501" i="11"/>
  <c r="E502" i="11" s="1"/>
  <c r="E299" i="11"/>
  <c r="E395" i="11"/>
  <c r="F523" i="11"/>
  <c r="E524" i="11" s="1"/>
  <c r="E579" i="11"/>
  <c r="E643" i="11"/>
  <c r="E630" i="11"/>
  <c r="E574" i="11"/>
  <c r="E551" i="11"/>
  <c r="E493" i="11"/>
  <c r="E35" i="11"/>
  <c r="F652" i="11"/>
  <c r="E608" i="11"/>
  <c r="E607" i="11"/>
  <c r="F572" i="11"/>
  <c r="G573" i="11" s="1"/>
  <c r="F531" i="11"/>
  <c r="F433" i="11"/>
  <c r="F307" i="11"/>
  <c r="F308" i="11" s="1"/>
  <c r="E309" i="11" s="1"/>
  <c r="F8" i="11"/>
  <c r="A172" i="11"/>
  <c r="A173" i="11" s="1"/>
  <c r="A174" i="11" s="1"/>
  <c r="A175" i="11" s="1"/>
  <c r="A176" i="11" s="1"/>
  <c r="A177" i="11" s="1"/>
  <c r="A178" i="11" s="1"/>
  <c r="A179" i="11" s="1"/>
  <c r="A180" i="11" s="1"/>
  <c r="A186" i="11" s="1"/>
  <c r="F284" i="11"/>
  <c r="E285" i="11" s="1"/>
  <c r="F475" i="11"/>
  <c r="F476" i="11" s="1"/>
  <c r="E477" i="11" s="1"/>
  <c r="E416" i="11"/>
  <c r="F416" i="11"/>
  <c r="F646" i="11"/>
  <c r="E647" i="11" s="1"/>
  <c r="G647" i="11" s="1"/>
  <c r="F426" i="11"/>
  <c r="F233" i="11"/>
  <c r="E234" i="11" s="1"/>
  <c r="E494" i="11"/>
  <c r="E110" i="11"/>
  <c r="E644" i="11"/>
  <c r="E603" i="11"/>
  <c r="E645" i="11"/>
  <c r="F188" i="11"/>
  <c r="F189" i="11" s="1"/>
  <c r="F36" i="11"/>
  <c r="E561" i="11"/>
  <c r="F561" i="11"/>
  <c r="F562" i="11" s="1"/>
  <c r="G563" i="11" s="1"/>
  <c r="E67" i="11"/>
  <c r="F338" i="11"/>
  <c r="F340" i="11" s="1"/>
  <c r="E560" i="11"/>
  <c r="E19" i="11"/>
  <c r="E549" i="11"/>
  <c r="F623" i="11"/>
  <c r="E623" i="11"/>
  <c r="E64" i="11"/>
  <c r="E556" i="11"/>
  <c r="F247" i="11"/>
  <c r="F617" i="11"/>
  <c r="E618" i="11" s="1"/>
  <c r="G618" i="11" s="1"/>
  <c r="E124" i="11"/>
  <c r="F124" i="11"/>
  <c r="E125" i="11" s="1"/>
  <c r="F524" i="11"/>
  <c r="E525" i="11" s="1"/>
  <c r="F525" i="11"/>
  <c r="F526" i="11" s="1"/>
  <c r="F527" i="11" s="1"/>
  <c r="F528" i="11" s="1"/>
  <c r="G529" i="11" s="1"/>
  <c r="E527" i="11"/>
  <c r="F291" i="11"/>
  <c r="F502" i="11"/>
  <c r="E503" i="11" s="1"/>
  <c r="F434" i="11"/>
  <c r="F435" i="11" s="1"/>
  <c r="E434" i="11"/>
  <c r="A187" i="11"/>
  <c r="A188" i="11" s="1"/>
  <c r="A189" i="11" s="1"/>
  <c r="A190" i="11" s="1"/>
  <c r="A191" i="11" s="1"/>
  <c r="A192" i="11" s="1"/>
  <c r="A193" i="11" s="1"/>
  <c r="A196" i="11"/>
  <c r="A197" i="11" s="1"/>
  <c r="A198" i="11" s="1"/>
  <c r="A199" i="11" s="1"/>
  <c r="A200" i="11" s="1"/>
  <c r="A201" i="11" s="1"/>
  <c r="A202" i="11" s="1"/>
  <c r="A203" i="11" s="1"/>
  <c r="A204" i="11" s="1"/>
  <c r="A205" i="11" s="1"/>
  <c r="A206" i="11" s="1"/>
  <c r="A207" i="11" s="1"/>
  <c r="A208" i="11" s="1"/>
  <c r="A209" i="11" s="1"/>
  <c r="A210" i="11" s="1"/>
  <c r="A211" i="11" s="1"/>
  <c r="A212" i="11" s="1"/>
  <c r="A213" i="11" s="1"/>
  <c r="A214" i="11" s="1"/>
  <c r="A215" i="11" s="1"/>
  <c r="A216" i="11" s="1"/>
  <c r="A217" i="11" s="1"/>
  <c r="A218" i="11" s="1"/>
  <c r="A219" i="11" s="1"/>
  <c r="A220" i="11" s="1"/>
  <c r="A221" i="11" s="1"/>
  <c r="A222" i="11" s="1"/>
  <c r="A223" i="11" s="1"/>
  <c r="A224" i="11" s="1"/>
  <c r="A225" i="11" s="1"/>
  <c r="A226" i="11" s="1"/>
  <c r="A227" i="11" s="1"/>
  <c r="A228" i="11" s="1"/>
  <c r="A229" i="11" s="1"/>
  <c r="A230" i="11" s="1"/>
  <c r="A231" i="11" s="1"/>
  <c r="A232" i="11" s="1"/>
  <c r="A233" i="11" s="1"/>
  <c r="A234" i="11" s="1"/>
  <c r="A235" i="11" s="1"/>
  <c r="A236" i="11" s="1"/>
  <c r="A237" i="11" s="1"/>
  <c r="A238" i="11" s="1"/>
  <c r="A239" i="11" s="1"/>
  <c r="A240" i="11" s="1"/>
  <c r="A247" i="11"/>
  <c r="A248" i="11" s="1"/>
  <c r="A249" i="11" s="1"/>
  <c r="A250" i="11" s="1"/>
  <c r="A251" i="11" s="1"/>
  <c r="A252" i="11" s="1"/>
  <c r="A253" i="11" s="1"/>
  <c r="A254" i="11" s="1"/>
  <c r="A255" i="11" s="1"/>
  <c r="A256" i="11" s="1"/>
  <c r="A257" i="11" s="1"/>
  <c r="A258" i="11" s="1"/>
  <c r="A259" i="11" s="1"/>
  <c r="A260" i="11" s="1"/>
  <c r="A261" i="11" s="1"/>
  <c r="A262" i="11" s="1"/>
  <c r="A263" i="11" s="1"/>
  <c r="A268" i="11" s="1"/>
  <c r="A269" i="11" s="1"/>
  <c r="A270" i="11" s="1"/>
  <c r="A271" i="11" s="1"/>
  <c r="A272" i="11" s="1"/>
  <c r="A273" i="11" s="1"/>
  <c r="A274" i="11" s="1"/>
  <c r="A275" i="11" s="1"/>
  <c r="A276" i="11" s="1"/>
  <c r="A277" i="11" s="1"/>
  <c r="A278" i="11" s="1"/>
  <c r="A279" i="11" s="1"/>
  <c r="A280" i="11" s="1"/>
  <c r="A281" i="11" s="1"/>
  <c r="A282" i="11" s="1"/>
  <c r="A283" i="11" s="1"/>
  <c r="A284" i="11" s="1"/>
  <c r="A285" i="11" s="1"/>
  <c r="A286" i="11" s="1"/>
  <c r="A287" i="11" s="1"/>
  <c r="A288" i="11" s="1"/>
  <c r="A289" i="11" s="1"/>
  <c r="A290" i="11" s="1"/>
  <c r="A291" i="11" s="1"/>
  <c r="A292" i="11" s="1"/>
  <c r="A293" i="11" s="1"/>
  <c r="A294" i="11" s="1"/>
  <c r="A295" i="11" s="1"/>
  <c r="A296" i="11" s="1"/>
  <c r="A297" i="11" s="1"/>
  <c r="A298" i="11" s="1"/>
  <c r="A299" i="11" s="1"/>
  <c r="A300" i="11" s="1"/>
  <c r="A301" i="11" s="1"/>
  <c r="A302" i="11" s="1"/>
  <c r="A303" i="11" s="1"/>
  <c r="A304" i="11" s="1"/>
  <c r="A305" i="11" s="1"/>
  <c r="A306" i="11" s="1"/>
  <c r="A307" i="11" s="1"/>
  <c r="A308" i="11" s="1"/>
  <c r="A309" i="11" s="1"/>
  <c r="A310" i="11" s="1"/>
  <c r="A311" i="11" s="1"/>
  <c r="A312" i="11" s="1"/>
  <c r="A313" i="11" s="1"/>
  <c r="A314" i="11" s="1"/>
  <c r="A315" i="11" s="1"/>
  <c r="A316" i="11" s="1"/>
  <c r="A317" i="11" s="1"/>
  <c r="A318" i="11" s="1"/>
  <c r="A319" i="11" s="1"/>
  <c r="A320" i="11" s="1"/>
  <c r="A321" i="11" s="1"/>
  <c r="A322" i="11" s="1"/>
  <c r="A323" i="11" s="1"/>
  <c r="A324" i="11" s="1"/>
  <c r="A325" i="11" s="1"/>
  <c r="A326" i="11" s="1"/>
  <c r="A327" i="11" s="1"/>
  <c r="A328" i="11" s="1"/>
  <c r="A329" i="11" s="1"/>
  <c r="A330" i="11" s="1"/>
  <c r="A331" i="11" s="1"/>
  <c r="A332" i="11" s="1"/>
  <c r="A432" i="11"/>
  <c r="A433" i="11" s="1"/>
  <c r="A434" i="11" s="1"/>
  <c r="A435" i="11" s="1"/>
  <c r="A436" i="11" s="1"/>
  <c r="A437" i="11" s="1"/>
  <c r="A438" i="11" s="1"/>
  <c r="A439" i="11" s="1"/>
  <c r="A440" i="11" s="1"/>
  <c r="A441" i="11" s="1"/>
  <c r="A442" i="11" s="1"/>
  <c r="A443" i="11" s="1"/>
  <c r="A444" i="11" s="1"/>
  <c r="A445" i="11" s="1"/>
  <c r="A446" i="11" s="1"/>
  <c r="A447" i="11" s="1"/>
  <c r="A448" i="11" s="1"/>
  <c r="A451" i="11"/>
  <c r="A452" i="11" s="1"/>
  <c r="A453" i="11" s="1"/>
  <c r="A454" i="11" s="1"/>
  <c r="A455" i="11" s="1"/>
  <c r="A456" i="11" s="1"/>
  <c r="E526" i="11"/>
  <c r="E189" i="11"/>
  <c r="E562" i="11"/>
  <c r="F292" i="11"/>
  <c r="F293" i="11" s="1"/>
  <c r="E294" i="11" s="1"/>
  <c r="E292" i="11"/>
  <c r="E557" i="11"/>
  <c r="F557" i="11"/>
  <c r="E624" i="11"/>
  <c r="F624" i="11"/>
  <c r="F625" i="11" s="1"/>
  <c r="E626" i="11" s="1"/>
  <c r="F503" i="11"/>
  <c r="F125" i="11"/>
  <c r="E126" i="11" s="1"/>
  <c r="F309" i="11"/>
  <c r="E435" i="11"/>
  <c r="F477" i="11"/>
  <c r="F478" i="11" s="1"/>
  <c r="A474" i="11"/>
  <c r="A475" i="11" s="1"/>
  <c r="A476" i="11" s="1"/>
  <c r="A477" i="11" s="1"/>
  <c r="A478" i="11" s="1"/>
  <c r="A479" i="11" s="1"/>
  <c r="A480" i="11" s="1"/>
  <c r="A481" i="11" s="1"/>
  <c r="A482" i="11" s="1"/>
  <c r="A483" i="11" s="1"/>
  <c r="A484" i="11" s="1"/>
  <c r="A485" i="11" s="1"/>
  <c r="A486" i="11" s="1"/>
  <c r="A487" i="11" s="1"/>
  <c r="A488" i="11" s="1"/>
  <c r="A489" i="11" s="1"/>
  <c r="A490" i="11" s="1"/>
  <c r="A491" i="11" s="1"/>
  <c r="A492" i="11" s="1"/>
  <c r="A493" i="11" s="1"/>
  <c r="A494" i="11" s="1"/>
  <c r="A495" i="11" s="1"/>
  <c r="A496" i="11" s="1"/>
  <c r="A497" i="11" s="1"/>
  <c r="A498" i="11" s="1"/>
  <c r="A499" i="11" s="1"/>
  <c r="A500" i="11" s="1"/>
  <c r="A501" i="11" s="1"/>
  <c r="A502" i="11" s="1"/>
  <c r="A503" i="11" s="1"/>
  <c r="A504" i="11" s="1"/>
  <c r="A505" i="11" s="1"/>
  <c r="A506" i="11" s="1"/>
  <c r="E558" i="11"/>
  <c r="G558" i="11"/>
  <c r="E478" i="11"/>
  <c r="A544" i="11"/>
  <c r="A545" i="11" s="1"/>
  <c r="A546" i="11" s="1"/>
  <c r="A547" i="11" s="1"/>
  <c r="A548" i="11" s="1"/>
  <c r="A549" i="11" s="1"/>
  <c r="A550" i="11" s="1"/>
  <c r="A551" i="11" s="1"/>
  <c r="A552" i="11" s="1"/>
  <c r="A553" i="11" s="1"/>
  <c r="A554" i="11" s="1"/>
  <c r="A555" i="11" s="1"/>
  <c r="A556" i="11" s="1"/>
  <c r="A557" i="11" s="1"/>
  <c r="A558" i="11" s="1"/>
  <c r="A559" i="11" s="1"/>
  <c r="A560" i="11" s="1"/>
  <c r="A561" i="11" s="1"/>
  <c r="A562" i="11" s="1"/>
  <c r="A563" i="11" s="1"/>
  <c r="A564" i="11" s="1"/>
  <c r="A565" i="11" s="1"/>
  <c r="A566" i="11" s="1"/>
  <c r="A567" i="11" s="1"/>
  <c r="A568" i="11" s="1"/>
  <c r="A569" i="11" s="1"/>
  <c r="A570" i="11" s="1"/>
  <c r="A571" i="11" s="1"/>
  <c r="A572" i="11" s="1"/>
  <c r="A573" i="11" s="1"/>
  <c r="A574" i="11" s="1"/>
  <c r="A575" i="11" s="1"/>
  <c r="A579" i="11" s="1"/>
  <c r="A580" i="11" s="1"/>
  <c r="A581" i="11" s="1"/>
  <c r="A582" i="11" s="1"/>
  <c r="A583" i="11" s="1"/>
  <c r="A584" i="11" s="1"/>
  <c r="A585" i="11" s="1"/>
  <c r="A586" i="11" s="1"/>
  <c r="A620" i="11"/>
  <c r="A621" i="11" s="1"/>
  <c r="A623" i="11"/>
  <c r="A624" i="11" s="1"/>
  <c r="A625" i="11" s="1"/>
  <c r="A626" i="11" s="1"/>
  <c r="A627" i="11" s="1"/>
  <c r="A628" i="11" s="1"/>
  <c r="A629" i="11" s="1"/>
  <c r="A631" i="11"/>
  <c r="A632" i="11" s="1"/>
  <c r="A633" i="11" s="1"/>
  <c r="A634" i="11" s="1"/>
  <c r="A635" i="11" s="1"/>
  <c r="A636" i="11" s="1"/>
  <c r="A637" i="11" s="1"/>
  <c r="A638" i="11" s="1"/>
  <c r="A639" i="11" s="1"/>
  <c r="A641" i="11"/>
  <c r="A642" i="11" s="1"/>
  <c r="A644" i="11"/>
  <c r="A645" i="11" s="1"/>
  <c r="A646" i="11" s="1"/>
  <c r="A647" i="11" s="1"/>
  <c r="H977" i="7"/>
  <c r="G977" i="7"/>
  <c r="H1040" i="7"/>
  <c r="G1041" i="7" s="1"/>
  <c r="A17" i="7"/>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H16" i="7"/>
  <c r="H7" i="7"/>
  <c r="H8" i="7" s="1"/>
  <c r="G9" i="7" s="1"/>
  <c r="G476" i="7"/>
  <c r="G643" i="7" l="1"/>
  <c r="H643" i="7"/>
  <c r="G549" i="7"/>
  <c r="H1026" i="7"/>
  <c r="G1027" i="7" s="1"/>
  <c r="H1027" i="7" s="1"/>
  <c r="G1028" i="7" s="1"/>
  <c r="H1028" i="7" s="1"/>
  <c r="H1030" i="7"/>
  <c r="G1031" i="7" s="1"/>
  <c r="H1031" i="7" s="1"/>
  <c r="G1032" i="7" s="1"/>
  <c r="H1032" i="7" s="1"/>
  <c r="G1026" i="7"/>
  <c r="G1030" i="7"/>
  <c r="F388" i="11"/>
  <c r="E388" i="11"/>
  <c r="E436" i="11"/>
  <c r="F436" i="11"/>
  <c r="F437" i="11" s="1"/>
  <c r="E625" i="11"/>
  <c r="E175" i="11"/>
  <c r="F126" i="11"/>
  <c r="E550" i="11"/>
  <c r="F335" i="11"/>
  <c r="G336" i="11" s="1"/>
  <c r="F176" i="11"/>
  <c r="E476" i="11"/>
  <c r="E573" i="11"/>
  <c r="F641" i="11"/>
  <c r="E642" i="11" s="1"/>
  <c r="G642" i="11" s="1"/>
  <c r="E420" i="11"/>
  <c r="F553" i="11"/>
  <c r="G554" i="11" s="1"/>
  <c r="F270" i="11"/>
  <c r="E271" i="11" s="1"/>
  <c r="E387" i="11"/>
  <c r="E173" i="11"/>
  <c r="F479" i="11"/>
  <c r="E479" i="11"/>
  <c r="F226" i="11"/>
  <c r="E226" i="11"/>
  <c r="E341" i="11"/>
  <c r="F341" i="11"/>
  <c r="F37" i="11"/>
  <c r="E37" i="11"/>
  <c r="E336" i="11"/>
  <c r="E340" i="11"/>
  <c r="F285" i="11"/>
  <c r="E225" i="11"/>
  <c r="F190" i="11"/>
  <c r="E190" i="11"/>
  <c r="E174" i="11"/>
  <c r="F626" i="11"/>
  <c r="E528" i="11"/>
  <c r="F271" i="11"/>
  <c r="F532" i="11"/>
  <c r="E532" i="11"/>
  <c r="E653" i="11"/>
  <c r="F653" i="11"/>
  <c r="E396" i="11"/>
  <c r="F396" i="11"/>
  <c r="E504" i="11"/>
  <c r="F504" i="11"/>
  <c r="E505" i="11" s="1"/>
  <c r="F248" i="11"/>
  <c r="E248" i="11"/>
  <c r="F580" i="11"/>
  <c r="E9" i="11"/>
  <c r="F9" i="11"/>
  <c r="E609" i="11"/>
  <c r="F609" i="11"/>
  <c r="F569" i="11"/>
  <c r="E334" i="11"/>
  <c r="F453" i="11"/>
  <c r="E452" i="11"/>
  <c r="E620" i="11"/>
  <c r="E552" i="11"/>
  <c r="E87" i="11"/>
  <c r="E555" i="11"/>
  <c r="F324" i="11"/>
  <c r="E325" i="11" s="1"/>
  <c r="E619" i="11"/>
  <c r="F564" i="11"/>
  <c r="E63" i="11"/>
  <c r="F316" i="11"/>
  <c r="E187" i="11"/>
  <c r="E17" i="11"/>
  <c r="F604" i="11"/>
  <c r="E602" i="11"/>
  <c r="E531" i="11"/>
  <c r="F145" i="11"/>
  <c r="E324" i="11"/>
  <c r="E269" i="11"/>
  <c r="E564" i="11"/>
  <c r="E640" i="11"/>
  <c r="E483" i="11"/>
  <c r="F483" i="11"/>
  <c r="F299" i="11"/>
  <c r="E224" i="11"/>
  <c r="F630" i="11"/>
  <c r="F511" i="11"/>
  <c r="F87" i="11"/>
  <c r="F368" i="11"/>
  <c r="E337" i="11"/>
  <c r="E419" i="11"/>
  <c r="E425" i="11"/>
  <c r="A601" i="11"/>
  <c r="A602" i="11" s="1"/>
  <c r="A603" i="11" s="1"/>
  <c r="A604" i="11" s="1"/>
  <c r="A605" i="11" s="1"/>
  <c r="A606" i="11" s="1"/>
  <c r="A607" i="11" s="1"/>
  <c r="A608" i="11" s="1"/>
  <c r="A609" i="11" s="1"/>
  <c r="A610" i="11" s="1"/>
  <c r="A611" i="11" s="1"/>
  <c r="A612" i="11" s="1"/>
  <c r="A613" i="11" s="1"/>
  <c r="A614" i="11" s="1"/>
  <c r="A615" i="11" s="1"/>
  <c r="A616" i="11" s="1"/>
  <c r="A617" i="11" s="1"/>
  <c r="A618" i="11" s="1"/>
  <c r="A587" i="11"/>
  <c r="A588" i="11" s="1"/>
  <c r="A589" i="11" s="1"/>
  <c r="A590" i="11" s="1"/>
  <c r="A591" i="11" s="1"/>
  <c r="A592" i="11" s="1"/>
  <c r="A593" i="11" s="1"/>
  <c r="A594" i="11" s="1"/>
  <c r="A595" i="11" s="1"/>
  <c r="A596" i="11" s="1"/>
  <c r="A597" i="11" s="1"/>
  <c r="A598" i="11" s="1"/>
  <c r="A599" i="11" s="1"/>
  <c r="A600" i="11" s="1"/>
  <c r="A507" i="11"/>
  <c r="A510" i="11" s="1"/>
  <c r="A511" i="11" s="1"/>
  <c r="A512" i="11" s="1"/>
  <c r="A513" i="11" s="1"/>
  <c r="A514" i="11" s="1"/>
  <c r="A515" i="11" s="1"/>
  <c r="A516" i="11" s="1"/>
  <c r="A517" i="11" s="1"/>
  <c r="A518" i="11" s="1"/>
  <c r="A519" i="11" s="1"/>
  <c r="A520" i="11" s="1"/>
  <c r="A521" i="11" s="1"/>
  <c r="A522" i="11" s="1"/>
  <c r="A523" i="11" s="1"/>
  <c r="A524" i="11" s="1"/>
  <c r="A525" i="11" s="1"/>
  <c r="A526" i="11" s="1"/>
  <c r="A527" i="11" s="1"/>
  <c r="A528" i="11" s="1"/>
  <c r="A529" i="11" s="1"/>
  <c r="A530" i="11" s="1"/>
  <c r="A531" i="11" s="1"/>
  <c r="A533" i="11" s="1"/>
  <c r="A534" i="11" s="1"/>
  <c r="A535" i="11" s="1"/>
  <c r="A536" i="11" s="1"/>
  <c r="A537" i="11" s="1"/>
  <c r="A508" i="11"/>
  <c r="A509" i="11"/>
  <c r="F505" i="11"/>
  <c r="F310" i="11"/>
  <c r="E310" i="11"/>
  <c r="A337" i="11"/>
  <c r="A338" i="11" s="1"/>
  <c r="A339" i="11" s="1"/>
  <c r="A340" i="11" s="1"/>
  <c r="A341" i="11" s="1"/>
  <c r="A342" i="11" s="1"/>
  <c r="A343" i="11" s="1"/>
  <c r="A344" i="11" s="1"/>
  <c r="A345" i="11" s="1"/>
  <c r="A346" i="11" s="1"/>
  <c r="A347" i="11" s="1"/>
  <c r="A348" i="11" s="1"/>
  <c r="A349" i="11" s="1"/>
  <c r="A350" i="11" s="1"/>
  <c r="A351" i="11" s="1"/>
  <c r="A352" i="11" s="1"/>
  <c r="A353" i="11" s="1"/>
  <c r="A354" i="11" s="1"/>
  <c r="A355" i="11" s="1"/>
  <c r="A356" i="11" s="1"/>
  <c r="A357" i="11" s="1"/>
  <c r="A366" i="11" s="1"/>
  <c r="A358" i="11" s="1"/>
  <c r="A359" i="11" s="1"/>
  <c r="A360" i="11" s="1"/>
  <c r="A361" i="11" s="1"/>
  <c r="A362" i="11" s="1"/>
  <c r="A363" i="11" s="1"/>
  <c r="A364" i="11" s="1"/>
  <c r="A365" i="11" s="1"/>
  <c r="A367" i="11" s="1"/>
  <c r="A368" i="11" s="1"/>
  <c r="A369" i="11" s="1"/>
  <c r="A370" i="11" s="1"/>
  <c r="A371" i="11" s="1"/>
  <c r="A372" i="11" s="1"/>
  <c r="A373" i="11" s="1"/>
  <c r="A374" i="11" s="1"/>
  <c r="A375" i="11" s="1"/>
  <c r="A376" i="11" s="1"/>
  <c r="A377" i="11" s="1"/>
  <c r="A378" i="11" s="1"/>
  <c r="A379" i="11" s="1"/>
  <c r="A380" i="11" s="1"/>
  <c r="A381" i="11" s="1"/>
  <c r="A382" i="11" s="1"/>
  <c r="A383" i="11" s="1"/>
  <c r="A384" i="11" s="1"/>
  <c r="A385" i="11" s="1"/>
  <c r="A386" i="11" s="1"/>
  <c r="A387" i="11" s="1"/>
  <c r="A388" i="11" s="1"/>
  <c r="A389" i="11" s="1"/>
  <c r="A390" i="11" s="1"/>
  <c r="A391" i="11" s="1"/>
  <c r="A392" i="11" s="1"/>
  <c r="A393" i="11" s="1"/>
  <c r="A394" i="11" s="1"/>
  <c r="A395" i="11" s="1"/>
  <c r="A396" i="11" s="1"/>
  <c r="A397" i="11" s="1"/>
  <c r="A398" i="11" s="1"/>
  <c r="A399" i="11" s="1"/>
  <c r="A400" i="11" s="1"/>
  <c r="A401" i="11" s="1"/>
  <c r="A402" i="11" s="1"/>
  <c r="A403" i="11" s="1"/>
  <c r="A404" i="11" s="1"/>
  <c r="A405" i="11" s="1"/>
  <c r="A406" i="11" s="1"/>
  <c r="A407" i="11" s="1"/>
  <c r="A408" i="11" s="1"/>
  <c r="A409" i="11" s="1"/>
  <c r="A410" i="11" s="1"/>
  <c r="A411" i="11" s="1"/>
  <c r="A412" i="11" s="1"/>
  <c r="A413" i="11" s="1"/>
  <c r="A414" i="11" s="1"/>
  <c r="A333" i="11"/>
  <c r="A334" i="11" s="1"/>
  <c r="A335" i="11" s="1"/>
  <c r="A336" i="11" s="1"/>
  <c r="F294" i="11"/>
  <c r="E293" i="11"/>
  <c r="E563" i="11"/>
  <c r="E529" i="11"/>
  <c r="F581" i="11"/>
  <c r="E581" i="11"/>
  <c r="F565" i="11"/>
  <c r="E565" i="11"/>
  <c r="G62" i="11"/>
  <c r="E62" i="11"/>
  <c r="E547" i="11"/>
  <c r="G547" i="11"/>
  <c r="F234" i="11"/>
  <c r="E308" i="11"/>
  <c r="F197" i="11"/>
  <c r="E546" i="11"/>
  <c r="E554" i="11"/>
  <c r="F325" i="11"/>
  <c r="F20" i="11"/>
  <c r="E20" i="11"/>
  <c r="F68" i="11"/>
  <c r="E68" i="11"/>
  <c r="E575" i="11"/>
  <c r="G575" i="11"/>
  <c r="E111" i="11"/>
  <c r="F111" i="11"/>
  <c r="E495" i="11"/>
  <c r="F495" i="11"/>
  <c r="H549" i="7"/>
  <c r="H550" i="7" s="1"/>
  <c r="G576" i="7"/>
  <c r="H576" i="7"/>
  <c r="H291" i="7"/>
  <c r="G292" i="7" s="1"/>
  <c r="G775" i="7"/>
  <c r="G334" i="7"/>
  <c r="H334" i="7"/>
  <c r="G806" i="7"/>
  <c r="H1020" i="7"/>
  <c r="G1021" i="7" s="1"/>
  <c r="H1041" i="7"/>
  <c r="G1042" i="7" s="1"/>
  <c r="H874" i="7"/>
  <c r="G875" i="7" s="1"/>
  <c r="H867" i="7"/>
  <c r="H868" i="7" s="1"/>
  <c r="G869" i="7" s="1"/>
  <c r="H441" i="7"/>
  <c r="G442" i="7" s="1"/>
  <c r="G8" i="7"/>
  <c r="G240" i="7"/>
  <c r="H411" i="7"/>
  <c r="H412" i="7" s="1"/>
  <c r="H413" i="7" s="1"/>
  <c r="H414" i="7" s="1"/>
  <c r="G291" i="7"/>
  <c r="H421" i="7"/>
  <c r="H422" i="7" s="1"/>
  <c r="H90" i="7"/>
  <c r="G91" i="7" s="1"/>
  <c r="G1016" i="7"/>
  <c r="G856" i="7"/>
  <c r="G17" i="7"/>
  <c r="G874" i="7"/>
  <c r="G112" i="7"/>
  <c r="H251" i="7"/>
  <c r="H252" i="7" s="1"/>
  <c r="H281" i="7"/>
  <c r="G282" i="7" s="1"/>
  <c r="H992" i="7"/>
  <c r="H993" i="7" s="1"/>
  <c r="G994" i="7" s="1"/>
  <c r="G178" i="7"/>
  <c r="G391" i="7"/>
  <c r="H795" i="7"/>
  <c r="G796" i="7" s="1"/>
  <c r="G421" i="7"/>
  <c r="H806" i="7"/>
  <c r="H807" i="7" s="1"/>
  <c r="H134" i="7"/>
  <c r="H135" i="7" s="1"/>
  <c r="H86" i="7"/>
  <c r="G478" i="7"/>
  <c r="G905" i="7"/>
  <c r="G848" i="7"/>
  <c r="G373" i="7"/>
  <c r="G185" i="7"/>
  <c r="H856" i="7"/>
  <c r="H857" i="7" s="1"/>
  <c r="G858" i="7" s="1"/>
  <c r="H391" i="7"/>
  <c r="G392" i="7" s="1"/>
  <c r="G861" i="7"/>
  <c r="G786" i="7"/>
  <c r="G251" i="7"/>
  <c r="G47" i="7"/>
  <c r="H861" i="7"/>
  <c r="H786" i="7"/>
  <c r="H787" i="7" s="1"/>
  <c r="G788" i="7" s="1"/>
  <c r="H401" i="7"/>
  <c r="G402" i="7" s="1"/>
  <c r="H154" i="7"/>
  <c r="H222" i="7"/>
  <c r="H223" i="7" s="1"/>
  <c r="G224" i="7" s="1"/>
  <c r="H17" i="7"/>
  <c r="G975" i="7"/>
  <c r="G441" i="7"/>
  <c r="G992" i="7"/>
  <c r="G1020" i="7"/>
  <c r="H996" i="7"/>
  <c r="G997" i="7" s="1"/>
  <c r="H478" i="7"/>
  <c r="G479" i="7" s="1"/>
  <c r="G502" i="7"/>
  <c r="H544" i="7"/>
  <c r="H545" i="7" s="1"/>
  <c r="H831" i="7"/>
  <c r="H832" i="7" s="1"/>
  <c r="G174" i="7"/>
  <c r="G333" i="7"/>
  <c r="G879" i="7"/>
  <c r="G818" i="7"/>
  <c r="G446" i="7"/>
  <c r="G309" i="7"/>
  <c r="G134" i="7"/>
  <c r="H905" i="7"/>
  <c r="H906" i="7" s="1"/>
  <c r="H907" i="7" s="1"/>
  <c r="H908" i="7" s="1"/>
  <c r="H848" i="7"/>
  <c r="H849" i="7" s="1"/>
  <c r="I850" i="7" s="1"/>
  <c r="H750" i="7"/>
  <c r="H751" i="7" s="1"/>
  <c r="H752" i="7" s="1"/>
  <c r="H753" i="7" s="1"/>
  <c r="G945" i="7"/>
  <c r="G852" i="7"/>
  <c r="G765" i="7"/>
  <c r="G381" i="7"/>
  <c r="G222" i="7"/>
  <c r="H945" i="7"/>
  <c r="G946" i="7" s="1"/>
  <c r="H852" i="7"/>
  <c r="G853" i="7" s="1"/>
  <c r="H765" i="7"/>
  <c r="H381" i="7"/>
  <c r="H382" i="7" s="1"/>
  <c r="G383" i="7" s="1"/>
  <c r="H112" i="7"/>
  <c r="G113" i="7" s="1"/>
  <c r="H240" i="7"/>
  <c r="G241" i="7" s="1"/>
  <c r="H185" i="7"/>
  <c r="G186" i="7" s="1"/>
  <c r="G948" i="7"/>
  <c r="G996" i="7"/>
  <c r="G84" i="7"/>
  <c r="H1005" i="7"/>
  <c r="H502" i="7"/>
  <c r="G556" i="7"/>
  <c r="G831" i="7"/>
  <c r="H174" i="7"/>
  <c r="G750" i="7"/>
  <c r="H948" i="7"/>
  <c r="G949" i="7" s="1"/>
  <c r="H775" i="7"/>
  <c r="G401" i="7"/>
  <c r="G988" i="7"/>
  <c r="G867" i="7"/>
  <c r="G795" i="7"/>
  <c r="G411" i="7"/>
  <c r="G281" i="7"/>
  <c r="G90" i="7"/>
  <c r="H879" i="7"/>
  <c r="G880" i="7" s="1"/>
  <c r="H818" i="7"/>
  <c r="H446" i="7"/>
  <c r="G885" i="7"/>
  <c r="G825" i="7"/>
  <c r="G722" i="7"/>
  <c r="G357" i="7"/>
  <c r="G154" i="7"/>
  <c r="H885" i="7"/>
  <c r="H825" i="7"/>
  <c r="G826" i="7" s="1"/>
  <c r="H722" i="7"/>
  <c r="H357" i="7"/>
  <c r="H47" i="7"/>
  <c r="H309" i="7"/>
  <c r="H373" i="7"/>
  <c r="H975" i="7"/>
  <c r="H988" i="7"/>
  <c r="H84" i="7"/>
  <c r="G1005" i="7"/>
  <c r="G86" i="7"/>
  <c r="H1016" i="7"/>
  <c r="H512" i="7"/>
  <c r="H178" i="7"/>
  <c r="H556" i="7"/>
  <c r="H557" i="7" s="1"/>
  <c r="G978" i="7"/>
  <c r="H978" i="7"/>
  <c r="H9" i="7"/>
  <c r="G512" i="7"/>
  <c r="G544" i="7"/>
  <c r="H563" i="7"/>
  <c r="G563" i="7"/>
  <c r="A44" i="7"/>
  <c r="A45" i="7" s="1"/>
  <c r="A47" i="7" s="1"/>
  <c r="A48" i="7" s="1"/>
  <c r="A49" i="7" s="1"/>
  <c r="A50" i="7" s="1"/>
  <c r="A51" i="7" s="1"/>
  <c r="A52" i="7" s="1"/>
  <c r="A53" i="7" s="1"/>
  <c r="A54" i="7" s="1"/>
  <c r="A55" i="7" s="1"/>
  <c r="A56" i="7" s="1"/>
  <c r="A57" i="7" s="1"/>
  <c r="A58" i="7" s="1"/>
  <c r="A59" i="7" s="1"/>
  <c r="A60" i="7" s="1"/>
  <c r="A61" i="7" s="1"/>
  <c r="A62" i="7" s="1"/>
  <c r="A63" i="7" s="1"/>
  <c r="A64" i="7" s="1"/>
  <c r="A65" i="7" s="1"/>
  <c r="A66" i="7" s="1"/>
  <c r="G644" i="7" l="1"/>
  <c r="H644" i="7"/>
  <c r="H442" i="7"/>
  <c r="H443" i="7" s="1"/>
  <c r="I444" i="7" s="1"/>
  <c r="H1042" i="7"/>
  <c r="H1043" i="7" s="1"/>
  <c r="G252" i="7"/>
  <c r="G1033" i="7"/>
  <c r="I1033" i="7"/>
  <c r="I1029" i="7"/>
  <c r="G1029" i="7"/>
  <c r="H833" i="7"/>
  <c r="G833" i="7"/>
  <c r="H546" i="7"/>
  <c r="G546" i="7"/>
  <c r="G412" i="7"/>
  <c r="E438" i="11"/>
  <c r="F438" i="11"/>
  <c r="F127" i="11"/>
  <c r="E127" i="11"/>
  <c r="G550" i="7"/>
  <c r="E177" i="11"/>
  <c r="F177" i="11"/>
  <c r="H1021" i="7"/>
  <c r="H1022" i="7" s="1"/>
  <c r="H1023" i="7" s="1"/>
  <c r="G1024" i="7" s="1"/>
  <c r="E437" i="11"/>
  <c r="F389" i="11"/>
  <c r="E389" i="11"/>
  <c r="H292" i="7"/>
  <c r="H293" i="7" s="1"/>
  <c r="G294" i="7" s="1"/>
  <c r="E512" i="11"/>
  <c r="F512" i="11"/>
  <c r="F484" i="11"/>
  <c r="E484" i="11"/>
  <c r="E317" i="11"/>
  <c r="F317" i="11"/>
  <c r="F570" i="11"/>
  <c r="E570" i="11"/>
  <c r="E397" i="11"/>
  <c r="F397" i="11"/>
  <c r="E631" i="11"/>
  <c r="F631" i="11"/>
  <c r="E610" i="11"/>
  <c r="F610" i="11"/>
  <c r="F533" i="11"/>
  <c r="E533" i="11"/>
  <c r="E627" i="11"/>
  <c r="F627" i="11"/>
  <c r="E191" i="11"/>
  <c r="F191" i="11"/>
  <c r="F38" i="11"/>
  <c r="E38" i="11"/>
  <c r="F227" i="11"/>
  <c r="E227" i="11"/>
  <c r="G908" i="7"/>
  <c r="F369" i="11"/>
  <c r="E369" i="11"/>
  <c r="F146" i="11"/>
  <c r="E146" i="11"/>
  <c r="E454" i="11"/>
  <c r="F454" i="11"/>
  <c r="F654" i="11"/>
  <c r="E654" i="11"/>
  <c r="F342" i="11"/>
  <c r="E342" i="11"/>
  <c r="E88" i="11"/>
  <c r="F88" i="11"/>
  <c r="F300" i="11"/>
  <c r="E300" i="11"/>
  <c r="E10" i="11"/>
  <c r="F10" i="11"/>
  <c r="E249" i="11"/>
  <c r="F249" i="11"/>
  <c r="E272" i="11"/>
  <c r="F272" i="11"/>
  <c r="F286" i="11"/>
  <c r="E286" i="11"/>
  <c r="E480" i="11"/>
  <c r="F480" i="11"/>
  <c r="E69" i="11"/>
  <c r="F69" i="11"/>
  <c r="F21" i="11"/>
  <c r="E21" i="11"/>
  <c r="F326" i="11"/>
  <c r="E326" i="11"/>
  <c r="E198" i="11"/>
  <c r="F198" i="11"/>
  <c r="F235" i="11"/>
  <c r="E235" i="11"/>
  <c r="F566" i="11"/>
  <c r="E566" i="11"/>
  <c r="F582" i="11"/>
  <c r="E582" i="11"/>
  <c r="E311" i="11"/>
  <c r="F311" i="11"/>
  <c r="E506" i="11"/>
  <c r="F506" i="11"/>
  <c r="F496" i="11"/>
  <c r="E496" i="11"/>
  <c r="F112" i="11"/>
  <c r="E112" i="11"/>
  <c r="F295" i="11"/>
  <c r="E295" i="11"/>
  <c r="G335" i="7"/>
  <c r="H335" i="7"/>
  <c r="G906" i="7"/>
  <c r="G577" i="7"/>
  <c r="H577" i="7"/>
  <c r="H113" i="7"/>
  <c r="G114" i="7" s="1"/>
  <c r="H402" i="7"/>
  <c r="G403" i="7" s="1"/>
  <c r="H875" i="7"/>
  <c r="G876" i="7" s="1"/>
  <c r="I946" i="7"/>
  <c r="G557" i="7"/>
  <c r="H869" i="7"/>
  <c r="G870" i="7" s="1"/>
  <c r="G907" i="7"/>
  <c r="H949" i="7"/>
  <c r="H950" i="7" s="1"/>
  <c r="G951" i="7" s="1"/>
  <c r="H858" i="7"/>
  <c r="I859" i="7" s="1"/>
  <c r="G832" i="7"/>
  <c r="G868" i="7"/>
  <c r="H788" i="7"/>
  <c r="G789" i="7" s="1"/>
  <c r="G753" i="7"/>
  <c r="G135" i="7"/>
  <c r="G545" i="7"/>
  <c r="G751" i="7"/>
  <c r="G787" i="7"/>
  <c r="G422" i="7"/>
  <c r="G850" i="7"/>
  <c r="H282" i="7"/>
  <c r="G283" i="7" s="1"/>
  <c r="H796" i="7"/>
  <c r="G797" i="7" s="1"/>
  <c r="G807" i="7"/>
  <c r="H224" i="7"/>
  <c r="G225" i="7" s="1"/>
  <c r="H479" i="7"/>
  <c r="G480" i="7" s="1"/>
  <c r="H826" i="7"/>
  <c r="G827" i="7" s="1"/>
  <c r="H853" i="7"/>
  <c r="G854" i="7" s="1"/>
  <c r="G382" i="7"/>
  <c r="H91" i="7"/>
  <c r="I87" i="7"/>
  <c r="G87" i="7"/>
  <c r="G849" i="7"/>
  <c r="H241" i="7"/>
  <c r="G993" i="7"/>
  <c r="G413" i="7"/>
  <c r="H383" i="7"/>
  <c r="H384" i="7" s="1"/>
  <c r="G385" i="7" s="1"/>
  <c r="G85" i="7"/>
  <c r="I85" i="7"/>
  <c r="G310" i="7"/>
  <c r="H310" i="7"/>
  <c r="H1017" i="7"/>
  <c r="G1018" i="7" s="1"/>
  <c r="G1017" i="7"/>
  <c r="G989" i="7"/>
  <c r="H989" i="7"/>
  <c r="G48" i="7"/>
  <c r="H48" i="7"/>
  <c r="G886" i="7"/>
  <c r="H886" i="7"/>
  <c r="G1006" i="7"/>
  <c r="H1006" i="7"/>
  <c r="H766" i="7"/>
  <c r="G766" i="7"/>
  <c r="G752" i="7"/>
  <c r="H997" i="7"/>
  <c r="H998" i="7" s="1"/>
  <c r="H880" i="7"/>
  <c r="G857" i="7"/>
  <c r="G223" i="7"/>
  <c r="H392" i="7"/>
  <c r="G393" i="7" s="1"/>
  <c r="H358" i="7"/>
  <c r="G358" i="7"/>
  <c r="H776" i="7"/>
  <c r="G776" i="7"/>
  <c r="G18" i="7"/>
  <c r="H18" i="7"/>
  <c r="H513" i="7"/>
  <c r="G513" i="7"/>
  <c r="H819" i="7"/>
  <c r="G819" i="7"/>
  <c r="G503" i="7"/>
  <c r="H503" i="7"/>
  <c r="H155" i="7"/>
  <c r="G155" i="7"/>
  <c r="H186" i="7"/>
  <c r="H187" i="7" s="1"/>
  <c r="H374" i="7"/>
  <c r="G374" i="7"/>
  <c r="G723" i="7"/>
  <c r="H723" i="7"/>
  <c r="G447" i="7"/>
  <c r="H447" i="7"/>
  <c r="G862" i="7"/>
  <c r="H862" i="7"/>
  <c r="G415" i="7"/>
  <c r="H415" i="7"/>
  <c r="G416" i="7" s="1"/>
  <c r="G414" i="7"/>
  <c r="G909" i="7"/>
  <c r="H909" i="7"/>
  <c r="H423" i="7"/>
  <c r="G423" i="7"/>
  <c r="H136" i="7"/>
  <c r="G136" i="7"/>
  <c r="G253" i="7"/>
  <c r="H253" i="7"/>
  <c r="G754" i="7"/>
  <c r="H754" i="7"/>
  <c r="H564" i="7"/>
  <c r="G564" i="7"/>
  <c r="G10" i="7"/>
  <c r="H10" i="7"/>
  <c r="H979" i="7"/>
  <c r="G979" i="7"/>
  <c r="G808" i="7"/>
  <c r="H808" i="7"/>
  <c r="H645" i="7" l="1"/>
  <c r="G645" i="7"/>
  <c r="G1043" i="7"/>
  <c r="G444" i="7"/>
  <c r="G443" i="7"/>
  <c r="H834" i="7"/>
  <c r="G834" i="7"/>
  <c r="H547" i="7"/>
  <c r="G547" i="7"/>
  <c r="H242" i="7"/>
  <c r="G242" i="7"/>
  <c r="G1023" i="7"/>
  <c r="G1022" i="7"/>
  <c r="F178" i="11"/>
  <c r="E178" i="11"/>
  <c r="F128" i="11"/>
  <c r="E128" i="11"/>
  <c r="E390" i="11"/>
  <c r="F390" i="11"/>
  <c r="F439" i="11"/>
  <c r="E439" i="11"/>
  <c r="H870" i="7"/>
  <c r="H294" i="7"/>
  <c r="G295" i="7" s="1"/>
  <c r="H827" i="7"/>
  <c r="H828" i="7" s="1"/>
  <c r="G859" i="7"/>
  <c r="G293" i="7"/>
  <c r="F287" i="11"/>
  <c r="E287" i="11"/>
  <c r="E655" i="11"/>
  <c r="F655" i="11"/>
  <c r="F147" i="11"/>
  <c r="E147" i="11"/>
  <c r="F192" i="11"/>
  <c r="E192" i="11"/>
  <c r="F632" i="11"/>
  <c r="E632" i="11"/>
  <c r="E481" i="11"/>
  <c r="F481" i="11"/>
  <c r="F273" i="11"/>
  <c r="E273" i="11"/>
  <c r="E250" i="11"/>
  <c r="F250" i="11"/>
  <c r="F455" i="11"/>
  <c r="E455" i="11"/>
  <c r="F228" i="11"/>
  <c r="E228" i="11"/>
  <c r="F534" i="11"/>
  <c r="E534" i="11"/>
  <c r="E571" i="11"/>
  <c r="G571" i="11"/>
  <c r="E485" i="11"/>
  <c r="F485" i="11"/>
  <c r="E301" i="11"/>
  <c r="F301" i="11"/>
  <c r="F343" i="11"/>
  <c r="E343" i="11"/>
  <c r="E370" i="11"/>
  <c r="F370" i="11"/>
  <c r="E628" i="11"/>
  <c r="F628" i="11"/>
  <c r="E629" i="11" s="1"/>
  <c r="G629" i="11" s="1"/>
  <c r="F611" i="11"/>
  <c r="E611" i="11"/>
  <c r="E398" i="11"/>
  <c r="F398" i="11"/>
  <c r="F318" i="11"/>
  <c r="E318" i="11"/>
  <c r="F513" i="11"/>
  <c r="E513" i="11"/>
  <c r="F11" i="11"/>
  <c r="E11" i="11"/>
  <c r="F89" i="11"/>
  <c r="E89" i="11"/>
  <c r="F39" i="11"/>
  <c r="E39" i="11"/>
  <c r="H578" i="7"/>
  <c r="G578" i="7"/>
  <c r="F507" i="11"/>
  <c r="E507" i="11"/>
  <c r="F312" i="11"/>
  <c r="E312" i="11"/>
  <c r="F199" i="11"/>
  <c r="E199" i="11"/>
  <c r="F70" i="11"/>
  <c r="E70" i="11"/>
  <c r="F296" i="11"/>
  <c r="E296" i="11"/>
  <c r="F113" i="11"/>
  <c r="E113" i="11"/>
  <c r="E497" i="11"/>
  <c r="F497" i="11"/>
  <c r="E583" i="11"/>
  <c r="F583" i="11"/>
  <c r="E567" i="11"/>
  <c r="G567" i="11"/>
  <c r="F236" i="11"/>
  <c r="E236" i="11"/>
  <c r="E327" i="11"/>
  <c r="F327" i="11"/>
  <c r="E22" i="11"/>
  <c r="F22" i="11"/>
  <c r="H789" i="7"/>
  <c r="H790" i="7" s="1"/>
  <c r="H336" i="7"/>
  <c r="G336" i="7"/>
  <c r="H403" i="7"/>
  <c r="G404" i="7" s="1"/>
  <c r="H114" i="7"/>
  <c r="G115" i="7" s="1"/>
  <c r="H951" i="7"/>
  <c r="H952" i="7" s="1"/>
  <c r="G953" i="7" s="1"/>
  <c r="G950" i="7"/>
  <c r="H876" i="7"/>
  <c r="G877" i="7" s="1"/>
  <c r="G187" i="7"/>
  <c r="I854" i="7"/>
  <c r="G998" i="7"/>
  <c r="H225" i="7"/>
  <c r="G226" i="7" s="1"/>
  <c r="H283" i="7"/>
  <c r="H797" i="7"/>
  <c r="H480" i="7"/>
  <c r="G481" i="7" s="1"/>
  <c r="H92" i="7"/>
  <c r="G92" i="7"/>
  <c r="G384" i="7"/>
  <c r="H385" i="7"/>
  <c r="H386" i="7" s="1"/>
  <c r="G387" i="7" s="1"/>
  <c r="H393" i="7"/>
  <c r="H394" i="7" s="1"/>
  <c r="G395" i="7" s="1"/>
  <c r="G514" i="7"/>
  <c r="H514" i="7"/>
  <c r="H777" i="7"/>
  <c r="G777" i="7"/>
  <c r="G1007" i="7"/>
  <c r="H1007" i="7"/>
  <c r="H49" i="7"/>
  <c r="G49" i="7"/>
  <c r="H375" i="7"/>
  <c r="G375" i="7"/>
  <c r="G156" i="7"/>
  <c r="H156" i="7"/>
  <c r="G820" i="7"/>
  <c r="H820" i="7"/>
  <c r="G359" i="7"/>
  <c r="H359" i="7"/>
  <c r="G881" i="7"/>
  <c r="H881" i="7"/>
  <c r="G887" i="7"/>
  <c r="H887" i="7"/>
  <c r="I990" i="7"/>
  <c r="G990" i="7"/>
  <c r="G311" i="7"/>
  <c r="H311" i="7"/>
  <c r="G863" i="7"/>
  <c r="H863" i="7"/>
  <c r="G865" i="7" s="1"/>
  <c r="G724" i="7"/>
  <c r="H724" i="7"/>
  <c r="H504" i="7"/>
  <c r="G504" i="7"/>
  <c r="G999" i="7"/>
  <c r="H999" i="7"/>
  <c r="G767" i="7"/>
  <c r="H767" i="7"/>
  <c r="H449" i="7"/>
  <c r="G450" i="7" s="1"/>
  <c r="G449" i="7"/>
  <c r="G19" i="7"/>
  <c r="H19" i="7"/>
  <c r="H416" i="7"/>
  <c r="G417" i="7" s="1"/>
  <c r="H565" i="7"/>
  <c r="H566" i="7" s="1"/>
  <c r="H567" i="7" s="1"/>
  <c r="H568" i="7" s="1"/>
  <c r="H569" i="7" s="1"/>
  <c r="H570" i="7" s="1"/>
  <c r="H571" i="7" s="1"/>
  <c r="H572" i="7" s="1"/>
  <c r="G565" i="7"/>
  <c r="G910" i="7"/>
  <c r="H910" i="7"/>
  <c r="H188" i="7"/>
  <c r="G188" i="7"/>
  <c r="G11" i="7"/>
  <c r="H11" i="7"/>
  <c r="H137" i="7"/>
  <c r="G137" i="7"/>
  <c r="H424" i="7"/>
  <c r="G424" i="7"/>
  <c r="H755" i="7"/>
  <c r="G755" i="7"/>
  <c r="H254" i="7"/>
  <c r="G254" i="7"/>
  <c r="H1044" i="7"/>
  <c r="G1044" i="7"/>
  <c r="G980" i="7"/>
  <c r="H980" i="7"/>
  <c r="H809" i="7"/>
  <c r="G809" i="7"/>
  <c r="G646" i="7" l="1"/>
  <c r="H646" i="7"/>
  <c r="H882" i="7"/>
  <c r="G882" i="7"/>
  <c r="H835" i="7"/>
  <c r="G835" i="7"/>
  <c r="H295" i="7"/>
  <c r="H296" i="7" s="1"/>
  <c r="H297" i="7" s="1"/>
  <c r="G243" i="7"/>
  <c r="H243" i="7"/>
  <c r="F391" i="11"/>
  <c r="E391" i="11"/>
  <c r="E440" i="11"/>
  <c r="F440" i="11"/>
  <c r="G828" i="7"/>
  <c r="F179" i="11"/>
  <c r="E179" i="11"/>
  <c r="F129" i="11"/>
  <c r="E129" i="11"/>
  <c r="H404" i="7"/>
  <c r="G405" i="7" s="1"/>
  <c r="H417" i="7"/>
  <c r="G790" i="7"/>
  <c r="E371" i="11"/>
  <c r="F371" i="11"/>
  <c r="F302" i="11"/>
  <c r="E302" i="11"/>
  <c r="F251" i="11"/>
  <c r="E251" i="11"/>
  <c r="G482" i="11"/>
  <c r="E482" i="11"/>
  <c r="F656" i="11"/>
  <c r="E656" i="11"/>
  <c r="E90" i="11"/>
  <c r="F90" i="11"/>
  <c r="E319" i="11"/>
  <c r="F319" i="11"/>
  <c r="E612" i="11"/>
  <c r="F612" i="11"/>
  <c r="F229" i="11"/>
  <c r="E229" i="11"/>
  <c r="F193" i="11"/>
  <c r="E195" i="11" s="1"/>
  <c r="E193" i="11"/>
  <c r="F399" i="11"/>
  <c r="E399" i="11"/>
  <c r="E486" i="11"/>
  <c r="F486" i="11"/>
  <c r="F40" i="11"/>
  <c r="E40" i="11"/>
  <c r="E12" i="11"/>
  <c r="G12" i="11"/>
  <c r="E514" i="11"/>
  <c r="F514" i="11"/>
  <c r="E344" i="11"/>
  <c r="F344" i="11"/>
  <c r="F535" i="11"/>
  <c r="E535" i="11"/>
  <c r="F456" i="11"/>
  <c r="E456" i="11"/>
  <c r="E274" i="11"/>
  <c r="F274" i="11"/>
  <c r="F633" i="11"/>
  <c r="E633" i="11"/>
  <c r="E148" i="11"/>
  <c r="F148" i="11"/>
  <c r="F288" i="11"/>
  <c r="E288" i="11"/>
  <c r="E23" i="11"/>
  <c r="F23" i="11"/>
  <c r="F328" i="11"/>
  <c r="E328" i="11"/>
  <c r="E584" i="11"/>
  <c r="F584" i="11"/>
  <c r="F498" i="11"/>
  <c r="E498" i="11"/>
  <c r="E237" i="11"/>
  <c r="F237" i="11"/>
  <c r="E114" i="11"/>
  <c r="F114" i="11"/>
  <c r="F297" i="11"/>
  <c r="E297" i="11"/>
  <c r="F71" i="11"/>
  <c r="E71" i="11"/>
  <c r="F200" i="11"/>
  <c r="E200" i="11"/>
  <c r="E313" i="11"/>
  <c r="F313" i="11"/>
  <c r="E508" i="11"/>
  <c r="F508" i="11"/>
  <c r="H579" i="7"/>
  <c r="G579" i="7"/>
  <c r="G337" i="7"/>
  <c r="H337" i="7"/>
  <c r="H115" i="7"/>
  <c r="G116" i="7" s="1"/>
  <c r="H226" i="7"/>
  <c r="G227" i="7" s="1"/>
  <c r="G952" i="7"/>
  <c r="H953" i="7"/>
  <c r="H954" i="7" s="1"/>
  <c r="H955" i="7" s="1"/>
  <c r="I877" i="7"/>
  <c r="H573" i="7"/>
  <c r="G573" i="7"/>
  <c r="H395" i="7"/>
  <c r="H396" i="7" s="1"/>
  <c r="G284" i="7"/>
  <c r="H284" i="7"/>
  <c r="H481" i="7"/>
  <c r="G482" i="7" s="1"/>
  <c r="H798" i="7"/>
  <c r="G798" i="7"/>
  <c r="G93" i="7"/>
  <c r="H93" i="7"/>
  <c r="G386" i="7"/>
  <c r="G394" i="7"/>
  <c r="H387" i="7"/>
  <c r="H388" i="7" s="1"/>
  <c r="G768" i="7"/>
  <c r="H768" i="7"/>
  <c r="G821" i="7"/>
  <c r="H821" i="7"/>
  <c r="G515" i="7"/>
  <c r="H515" i="7"/>
  <c r="G1000" i="7"/>
  <c r="H1000" i="7"/>
  <c r="H725" i="7"/>
  <c r="G725" i="7"/>
  <c r="G312" i="7"/>
  <c r="H312" i="7"/>
  <c r="G888" i="7"/>
  <c r="H888" i="7"/>
  <c r="H360" i="7"/>
  <c r="G360" i="7"/>
  <c r="G157" i="7"/>
  <c r="H157" i="7"/>
  <c r="H50" i="7"/>
  <c r="G50" i="7"/>
  <c r="G778" i="7"/>
  <c r="H778" i="7"/>
  <c r="G20" i="7"/>
  <c r="H20" i="7"/>
  <c r="H1008" i="7"/>
  <c r="G1008" i="7"/>
  <c r="G505" i="7"/>
  <c r="H505" i="7"/>
  <c r="H376" i="7"/>
  <c r="G376" i="7"/>
  <c r="G189" i="7"/>
  <c r="H189" i="7"/>
  <c r="G911" i="7"/>
  <c r="H911" i="7"/>
  <c r="I829" i="7"/>
  <c r="G829" i="7"/>
  <c r="G12" i="7"/>
  <c r="I12" i="7"/>
  <c r="G810" i="7"/>
  <c r="H810" i="7"/>
  <c r="H255" i="7"/>
  <c r="G255" i="7"/>
  <c r="G425" i="7"/>
  <c r="H425" i="7"/>
  <c r="G981" i="7"/>
  <c r="H981" i="7"/>
  <c r="G1045" i="7"/>
  <c r="H1045" i="7"/>
  <c r="G138" i="7"/>
  <c r="H138" i="7"/>
  <c r="H791" i="7"/>
  <c r="G791" i="7"/>
  <c r="G647" i="7" l="1"/>
  <c r="H647" i="7"/>
  <c r="I883" i="7"/>
  <c r="G883" i="7"/>
  <c r="G297" i="7"/>
  <c r="G955" i="7"/>
  <c r="H836" i="7"/>
  <c r="G836" i="7"/>
  <c r="G296" i="7"/>
  <c r="H418" i="7"/>
  <c r="G418" i="7"/>
  <c r="H244" i="7"/>
  <c r="G244" i="7"/>
  <c r="H405" i="7"/>
  <c r="G406" i="7" s="1"/>
  <c r="E441" i="11"/>
  <c r="F441" i="11"/>
  <c r="F130" i="11"/>
  <c r="E130" i="11"/>
  <c r="F392" i="11"/>
  <c r="E392" i="11"/>
  <c r="E149" i="11"/>
  <c r="F149" i="11"/>
  <c r="F275" i="11"/>
  <c r="E275" i="11"/>
  <c r="F515" i="11"/>
  <c r="E515" i="11"/>
  <c r="F320" i="11"/>
  <c r="E320" i="11"/>
  <c r="F91" i="11"/>
  <c r="E91" i="11"/>
  <c r="E536" i="11"/>
  <c r="G536" i="11"/>
  <c r="E41" i="11"/>
  <c r="F41" i="11"/>
  <c r="E400" i="11"/>
  <c r="F400" i="11"/>
  <c r="E230" i="11"/>
  <c r="F230" i="11"/>
  <c r="F303" i="11"/>
  <c r="E303" i="11"/>
  <c r="G954" i="7"/>
  <c r="E345" i="11"/>
  <c r="F345" i="11"/>
  <c r="F487" i="11"/>
  <c r="E487" i="11"/>
  <c r="E613" i="11"/>
  <c r="F613" i="11"/>
  <c r="F372" i="11"/>
  <c r="E372" i="11"/>
  <c r="E289" i="11"/>
  <c r="G289" i="11"/>
  <c r="F634" i="11"/>
  <c r="E634" i="11"/>
  <c r="E657" i="11"/>
  <c r="F657" i="11"/>
  <c r="F252" i="11"/>
  <c r="E252" i="11"/>
  <c r="F509" i="11"/>
  <c r="E509" i="11"/>
  <c r="F314" i="11"/>
  <c r="E314" i="11"/>
  <c r="F115" i="11"/>
  <c r="E115" i="11"/>
  <c r="F238" i="11"/>
  <c r="E238" i="11"/>
  <c r="F585" i="11"/>
  <c r="E585" i="11"/>
  <c r="F24" i="11"/>
  <c r="E24" i="11"/>
  <c r="G580" i="7"/>
  <c r="H580" i="7"/>
  <c r="F201" i="11"/>
  <c r="E201" i="11"/>
  <c r="F72" i="11"/>
  <c r="E72" i="11"/>
  <c r="E298" i="11"/>
  <c r="G298" i="11"/>
  <c r="E499" i="11"/>
  <c r="F499" i="11"/>
  <c r="F329" i="11"/>
  <c r="E329" i="11"/>
  <c r="H338" i="7"/>
  <c r="G338" i="7"/>
  <c r="H482" i="7"/>
  <c r="G483" i="7" s="1"/>
  <c r="H116" i="7"/>
  <c r="H117" i="7" s="1"/>
  <c r="G118" i="7" s="1"/>
  <c r="H227" i="7"/>
  <c r="G228" i="7" s="1"/>
  <c r="G574" i="7"/>
  <c r="I574" i="7"/>
  <c r="G396" i="7"/>
  <c r="G285" i="7"/>
  <c r="H285" i="7"/>
  <c r="H799" i="7"/>
  <c r="G799" i="7"/>
  <c r="H94" i="7"/>
  <c r="G94" i="7"/>
  <c r="G388" i="7"/>
  <c r="G51" i="7"/>
  <c r="H51" i="7"/>
  <c r="G361" i="7"/>
  <c r="H361" i="7"/>
  <c r="G769" i="7"/>
  <c r="H769" i="7"/>
  <c r="H377" i="7"/>
  <c r="G377" i="7"/>
  <c r="H1009" i="7"/>
  <c r="G1009" i="7"/>
  <c r="G726" i="7"/>
  <c r="H726" i="7"/>
  <c r="H516" i="7"/>
  <c r="G516" i="7"/>
  <c r="G506" i="7"/>
  <c r="H506" i="7"/>
  <c r="G21" i="7"/>
  <c r="H21" i="7"/>
  <c r="G313" i="7"/>
  <c r="H313" i="7"/>
  <c r="H1001" i="7"/>
  <c r="G1001" i="7"/>
  <c r="H822" i="7"/>
  <c r="G822" i="7"/>
  <c r="G779" i="7"/>
  <c r="H779" i="7"/>
  <c r="G158" i="7"/>
  <c r="H158" i="7"/>
  <c r="G889" i="7"/>
  <c r="H889" i="7"/>
  <c r="G568" i="7"/>
  <c r="H912" i="7"/>
  <c r="G912" i="7"/>
  <c r="G190" i="7"/>
  <c r="H190" i="7"/>
  <c r="H956" i="7"/>
  <c r="G956" i="7"/>
  <c r="H256" i="7"/>
  <c r="G256" i="7"/>
  <c r="H1046" i="7"/>
  <c r="G1047" i="7" s="1"/>
  <c r="G1046" i="7"/>
  <c r="H811" i="7"/>
  <c r="G811" i="7"/>
  <c r="G139" i="7"/>
  <c r="H139" i="7"/>
  <c r="G982" i="7"/>
  <c r="H982" i="7"/>
  <c r="G426" i="7"/>
  <c r="H426" i="7"/>
  <c r="I389" i="7"/>
  <c r="G389" i="7"/>
  <c r="H397" i="7"/>
  <c r="G397" i="7"/>
  <c r="H298" i="7"/>
  <c r="G298" i="7"/>
  <c r="H792" i="7"/>
  <c r="G792" i="7"/>
  <c r="G648" i="7" l="1"/>
  <c r="H648" i="7"/>
  <c r="H419" i="7"/>
  <c r="G419" i="7"/>
  <c r="H398" i="7"/>
  <c r="G398" i="7"/>
  <c r="H406" i="7"/>
  <c r="G407" i="7" s="1"/>
  <c r="H245" i="7"/>
  <c r="G245" i="7"/>
  <c r="F131" i="11"/>
  <c r="E131" i="11"/>
  <c r="F442" i="11"/>
  <c r="E442" i="11"/>
  <c r="E393" i="11"/>
  <c r="F393" i="11"/>
  <c r="E394" i="11" s="1"/>
  <c r="G394" i="11" s="1"/>
  <c r="F635" i="11"/>
  <c r="E635" i="11"/>
  <c r="E614" i="11"/>
  <c r="F614" i="11"/>
  <c r="F346" i="11"/>
  <c r="E346" i="11"/>
  <c r="F304" i="11"/>
  <c r="E304" i="11"/>
  <c r="F321" i="11"/>
  <c r="E321" i="11"/>
  <c r="F276" i="11"/>
  <c r="E276" i="11"/>
  <c r="F488" i="11"/>
  <c r="E488" i="11"/>
  <c r="E253" i="11"/>
  <c r="F253" i="11"/>
  <c r="E231" i="11"/>
  <c r="G231" i="11"/>
  <c r="E42" i="11"/>
  <c r="F42" i="11"/>
  <c r="F150" i="11"/>
  <c r="E150" i="11"/>
  <c r="E373" i="11"/>
  <c r="F373" i="11"/>
  <c r="F401" i="11"/>
  <c r="E401" i="11"/>
  <c r="G658" i="11"/>
  <c r="E658" i="11"/>
  <c r="E92" i="11"/>
  <c r="F92" i="11"/>
  <c r="E516" i="11"/>
  <c r="F516" i="11"/>
  <c r="G500" i="11"/>
  <c r="E500" i="11"/>
  <c r="G581" i="7"/>
  <c r="H581" i="7"/>
  <c r="E330" i="11"/>
  <c r="F330" i="11"/>
  <c r="E73" i="11"/>
  <c r="F73" i="11"/>
  <c r="F202" i="11"/>
  <c r="E202" i="11"/>
  <c r="F25" i="11"/>
  <c r="E25" i="11"/>
  <c r="F586" i="11"/>
  <c r="E586" i="11"/>
  <c r="F239" i="11"/>
  <c r="E239" i="11"/>
  <c r="E116" i="11"/>
  <c r="F116" i="11"/>
  <c r="E315" i="11"/>
  <c r="G315" i="11"/>
  <c r="E510" i="11"/>
  <c r="G510" i="11"/>
  <c r="G339" i="7"/>
  <c r="H339" i="7"/>
  <c r="H483" i="7"/>
  <c r="G484" i="7" s="1"/>
  <c r="H118" i="7"/>
  <c r="G119" i="7" s="1"/>
  <c r="G117" i="7"/>
  <c r="H228" i="7"/>
  <c r="G229" i="7" s="1"/>
  <c r="H286" i="7"/>
  <c r="G286" i="7"/>
  <c r="G800" i="7"/>
  <c r="H800" i="7"/>
  <c r="H95" i="7"/>
  <c r="G95" i="7"/>
  <c r="H890" i="7"/>
  <c r="G890" i="7"/>
  <c r="G52" i="7"/>
  <c r="H52" i="7"/>
  <c r="G159" i="7"/>
  <c r="H159" i="7"/>
  <c r="H314" i="7"/>
  <c r="G314" i="7"/>
  <c r="G507" i="7"/>
  <c r="H507" i="7"/>
  <c r="G727" i="7"/>
  <c r="H727" i="7"/>
  <c r="G362" i="7"/>
  <c r="H362" i="7"/>
  <c r="G823" i="7"/>
  <c r="I823" i="7"/>
  <c r="H378" i="7"/>
  <c r="G378" i="7"/>
  <c r="G780" i="7"/>
  <c r="H780" i="7"/>
  <c r="H22" i="7"/>
  <c r="G22" i="7"/>
  <c r="H770" i="7"/>
  <c r="G770" i="7"/>
  <c r="H1002" i="7"/>
  <c r="G1003" i="7" s="1"/>
  <c r="G1002" i="7"/>
  <c r="H517" i="7"/>
  <c r="G517" i="7"/>
  <c r="G1010" i="7"/>
  <c r="H1010" i="7"/>
  <c r="G569" i="7"/>
  <c r="G191" i="7"/>
  <c r="H191" i="7"/>
  <c r="G913" i="7"/>
  <c r="H913" i="7"/>
  <c r="G983" i="7"/>
  <c r="H983" i="7"/>
  <c r="G427" i="7"/>
  <c r="H427" i="7"/>
  <c r="G140" i="7"/>
  <c r="H140" i="7"/>
  <c r="H812" i="7"/>
  <c r="G812" i="7"/>
  <c r="G257" i="7"/>
  <c r="H257" i="7"/>
  <c r="H957" i="7"/>
  <c r="G957" i="7"/>
  <c r="H299" i="7"/>
  <c r="G299" i="7"/>
  <c r="G793" i="7"/>
  <c r="I793" i="7"/>
  <c r="G649" i="7" l="1"/>
  <c r="H649" i="7"/>
  <c r="H407" i="7"/>
  <c r="G408" i="7" s="1"/>
  <c r="H399" i="7"/>
  <c r="G399" i="7"/>
  <c r="H246" i="7"/>
  <c r="G246" i="7"/>
  <c r="F443" i="11"/>
  <c r="E443" i="11"/>
  <c r="E132" i="11"/>
  <c r="F132" i="11"/>
  <c r="F402" i="11"/>
  <c r="E402" i="11"/>
  <c r="F151" i="11"/>
  <c r="E151" i="11"/>
  <c r="E489" i="11"/>
  <c r="F489" i="11"/>
  <c r="E322" i="11"/>
  <c r="F322" i="11"/>
  <c r="F347" i="11"/>
  <c r="E347" i="11"/>
  <c r="F93" i="11"/>
  <c r="E93" i="11"/>
  <c r="F517" i="11"/>
  <c r="E517" i="11"/>
  <c r="F374" i="11"/>
  <c r="E374" i="11"/>
  <c r="E43" i="11"/>
  <c r="F43" i="11"/>
  <c r="F254" i="11"/>
  <c r="E254" i="11"/>
  <c r="F615" i="11"/>
  <c r="E615" i="11"/>
  <c r="F277" i="11"/>
  <c r="E277" i="11"/>
  <c r="E305" i="11"/>
  <c r="F305" i="11"/>
  <c r="E636" i="11"/>
  <c r="F636" i="11"/>
  <c r="F117" i="11"/>
  <c r="E117" i="11"/>
  <c r="F74" i="11"/>
  <c r="E74" i="11"/>
  <c r="F331" i="11"/>
  <c r="E331" i="11"/>
  <c r="G582" i="7"/>
  <c r="H582" i="7"/>
  <c r="I583" i="7" s="1"/>
  <c r="F240" i="11"/>
  <c r="E242" i="11" s="1"/>
  <c r="E240" i="11"/>
  <c r="F588" i="11"/>
  <c r="F587" i="11"/>
  <c r="E588" i="11"/>
  <c r="E587" i="11"/>
  <c r="F26" i="11"/>
  <c r="E26" i="11"/>
  <c r="E203" i="11"/>
  <c r="F203" i="11"/>
  <c r="H340" i="7"/>
  <c r="G340" i="7"/>
  <c r="H119" i="7"/>
  <c r="H120" i="7" s="1"/>
  <c r="H484" i="7"/>
  <c r="G485" i="7" s="1"/>
  <c r="G300" i="7"/>
  <c r="H300" i="7"/>
  <c r="H229" i="7"/>
  <c r="H837" i="7"/>
  <c r="G837" i="7"/>
  <c r="G287" i="7"/>
  <c r="H287" i="7"/>
  <c r="H801" i="7"/>
  <c r="G801" i="7"/>
  <c r="H96" i="7"/>
  <c r="G96" i="7"/>
  <c r="G781" i="7"/>
  <c r="H781" i="7"/>
  <c r="G728" i="7"/>
  <c r="H728" i="7"/>
  <c r="G53" i="7"/>
  <c r="H53" i="7"/>
  <c r="G518" i="7"/>
  <c r="H518" i="7"/>
  <c r="G771" i="7"/>
  <c r="H771" i="7"/>
  <c r="H315" i="7"/>
  <c r="G315" i="7"/>
  <c r="G1011" i="7"/>
  <c r="H1011" i="7"/>
  <c r="H363" i="7"/>
  <c r="G363" i="7"/>
  <c r="G508" i="7"/>
  <c r="H508" i="7"/>
  <c r="G160" i="7"/>
  <c r="H160" i="7"/>
  <c r="G23" i="7"/>
  <c r="H23" i="7"/>
  <c r="I379" i="7"/>
  <c r="G379" i="7"/>
  <c r="G891" i="7"/>
  <c r="H891" i="7"/>
  <c r="G914" i="7"/>
  <c r="H914" i="7"/>
  <c r="H192" i="7"/>
  <c r="G192" i="7"/>
  <c r="G141" i="7"/>
  <c r="H141" i="7"/>
  <c r="H958" i="7"/>
  <c r="G958" i="7"/>
  <c r="G813" i="7"/>
  <c r="H813" i="7"/>
  <c r="G258" i="7"/>
  <c r="H258" i="7"/>
  <c r="G984" i="7"/>
  <c r="H984" i="7"/>
  <c r="H650" i="7" l="1"/>
  <c r="G650" i="7"/>
  <c r="H408" i="7"/>
  <c r="I409" i="7" s="1"/>
  <c r="H838" i="7"/>
  <c r="G838" i="7"/>
  <c r="G247" i="7"/>
  <c r="H247" i="7"/>
  <c r="H230" i="7"/>
  <c r="G230" i="7"/>
  <c r="F133" i="11"/>
  <c r="E133" i="11"/>
  <c r="F444" i="11"/>
  <c r="E444" i="11"/>
  <c r="E518" i="11"/>
  <c r="F518" i="11"/>
  <c r="F152" i="11"/>
  <c r="E152" i="11"/>
  <c r="F637" i="11"/>
  <c r="E637" i="11"/>
  <c r="F490" i="11"/>
  <c r="E490" i="11"/>
  <c r="E306" i="11"/>
  <c r="G306" i="11"/>
  <c r="F44" i="11"/>
  <c r="E44" i="11"/>
  <c r="E323" i="11"/>
  <c r="G323" i="11"/>
  <c r="F278" i="11"/>
  <c r="E278" i="11"/>
  <c r="F255" i="11"/>
  <c r="E255" i="11"/>
  <c r="E375" i="11"/>
  <c r="F375" i="11"/>
  <c r="F94" i="11"/>
  <c r="E94" i="11"/>
  <c r="E348" i="11"/>
  <c r="F348" i="11"/>
  <c r="E403" i="11"/>
  <c r="F403" i="11"/>
  <c r="E27" i="11"/>
  <c r="F27" i="11"/>
  <c r="E589" i="11"/>
  <c r="F589" i="11"/>
  <c r="E204" i="11"/>
  <c r="F204" i="11"/>
  <c r="G332" i="11"/>
  <c r="E332" i="11"/>
  <c r="F75" i="11"/>
  <c r="E75" i="11"/>
  <c r="F118" i="11"/>
  <c r="E118" i="11"/>
  <c r="G341" i="7"/>
  <c r="H341" i="7"/>
  <c r="H485" i="7"/>
  <c r="G486" i="7" s="1"/>
  <c r="G120" i="7"/>
  <c r="G301" i="7"/>
  <c r="H301" i="7"/>
  <c r="G288" i="7"/>
  <c r="H288" i="7"/>
  <c r="G802" i="7"/>
  <c r="H802" i="7"/>
  <c r="G97" i="7"/>
  <c r="H97" i="7"/>
  <c r="G892" i="7"/>
  <c r="H892" i="7"/>
  <c r="H24" i="7"/>
  <c r="G24" i="7"/>
  <c r="G509" i="7"/>
  <c r="H509" i="7"/>
  <c r="H772" i="7"/>
  <c r="G772" i="7"/>
  <c r="H54" i="7"/>
  <c r="G54" i="7"/>
  <c r="H782" i="7"/>
  <c r="G782" i="7"/>
  <c r="G161" i="7"/>
  <c r="H161" i="7"/>
  <c r="G519" i="7"/>
  <c r="H519" i="7"/>
  <c r="G729" i="7"/>
  <c r="H729" i="7"/>
  <c r="H364" i="7"/>
  <c r="G364" i="7"/>
  <c r="H316" i="7"/>
  <c r="G316" i="7"/>
  <c r="G1012" i="7"/>
  <c r="H1012" i="7"/>
  <c r="G572" i="7"/>
  <c r="G915" i="7"/>
  <c r="H915" i="7"/>
  <c r="G193" i="7"/>
  <c r="H193" i="7"/>
  <c r="H486" i="7"/>
  <c r="G959" i="7"/>
  <c r="H959" i="7"/>
  <c r="G985" i="7"/>
  <c r="H985" i="7"/>
  <c r="G259" i="7"/>
  <c r="H259" i="7"/>
  <c r="G814" i="7"/>
  <c r="I814" i="7"/>
  <c r="H142" i="7"/>
  <c r="G142" i="7"/>
  <c r="H121" i="7"/>
  <c r="G121" i="7"/>
  <c r="H651" i="7" l="1"/>
  <c r="G651" i="7"/>
  <c r="G409" i="7"/>
  <c r="H839" i="7"/>
  <c r="G839" i="7"/>
  <c r="H248" i="7"/>
  <c r="G248" i="7"/>
  <c r="H231" i="7"/>
  <c r="G231" i="7"/>
  <c r="F445" i="11"/>
  <c r="E445" i="11"/>
  <c r="F134" i="11"/>
  <c r="E134" i="11"/>
  <c r="F376" i="11"/>
  <c r="E376" i="11"/>
  <c r="E279" i="11"/>
  <c r="F279" i="11"/>
  <c r="E45" i="11"/>
  <c r="F45" i="11"/>
  <c r="F491" i="11"/>
  <c r="E491" i="11"/>
  <c r="F153" i="11"/>
  <c r="E153" i="11"/>
  <c r="F349" i="11"/>
  <c r="E349" i="11"/>
  <c r="F404" i="11"/>
  <c r="E404" i="11"/>
  <c r="G519" i="11"/>
  <c r="E519" i="11"/>
  <c r="E95" i="11"/>
  <c r="F95" i="11"/>
  <c r="E256" i="11"/>
  <c r="F256" i="11"/>
  <c r="E638" i="11"/>
  <c r="F638" i="11"/>
  <c r="E639" i="11" s="1"/>
  <c r="G639" i="11" s="1"/>
  <c r="E205" i="11"/>
  <c r="F205" i="11"/>
  <c r="F590" i="11"/>
  <c r="E590" i="11"/>
  <c r="E28" i="11"/>
  <c r="F28" i="11"/>
  <c r="F119" i="11"/>
  <c r="E119" i="11"/>
  <c r="F76" i="11"/>
  <c r="E76" i="11"/>
  <c r="G342" i="7"/>
  <c r="H342" i="7"/>
  <c r="G302" i="7"/>
  <c r="H302" i="7"/>
  <c r="I289" i="7"/>
  <c r="G289" i="7"/>
  <c r="G803" i="7"/>
  <c r="H803" i="7"/>
  <c r="H98" i="7"/>
  <c r="G98" i="7"/>
  <c r="G1013" i="7"/>
  <c r="H1013" i="7"/>
  <c r="G1014" i="7" s="1"/>
  <c r="G520" i="7"/>
  <c r="H520" i="7"/>
  <c r="G365" i="7"/>
  <c r="H365" i="7"/>
  <c r="H783" i="7"/>
  <c r="G783" i="7"/>
  <c r="I773" i="7"/>
  <c r="G773" i="7"/>
  <c r="H25" i="7"/>
  <c r="G25" i="7"/>
  <c r="G730" i="7"/>
  <c r="H730" i="7"/>
  <c r="G162" i="7"/>
  <c r="H162" i="7"/>
  <c r="I510" i="7"/>
  <c r="G510" i="7"/>
  <c r="G893" i="7"/>
  <c r="H893" i="7"/>
  <c r="H317" i="7"/>
  <c r="G317" i="7"/>
  <c r="G55" i="7"/>
  <c r="H55" i="7"/>
  <c r="H194" i="7"/>
  <c r="G194" i="7"/>
  <c r="G916" i="7"/>
  <c r="H916" i="7"/>
  <c r="G260" i="7"/>
  <c r="H260" i="7"/>
  <c r="H143" i="7"/>
  <c r="G143" i="7"/>
  <c r="H487" i="7"/>
  <c r="G487" i="7"/>
  <c r="G986" i="7"/>
  <c r="I986" i="7"/>
  <c r="H960" i="7"/>
  <c r="G960" i="7"/>
  <c r="H122" i="7"/>
  <c r="G122" i="7"/>
  <c r="G652" i="7" l="1"/>
  <c r="I652" i="7"/>
  <c r="H840" i="7"/>
  <c r="G840" i="7"/>
  <c r="G249" i="7"/>
  <c r="H249" i="7"/>
  <c r="H232" i="7"/>
  <c r="G232" i="7"/>
  <c r="E135" i="11"/>
  <c r="F135" i="11"/>
  <c r="F446" i="11"/>
  <c r="E446" i="11"/>
  <c r="F257" i="11"/>
  <c r="E257" i="11"/>
  <c r="F350" i="11"/>
  <c r="E350" i="11"/>
  <c r="E492" i="11"/>
  <c r="G492" i="11"/>
  <c r="F280" i="11"/>
  <c r="E280" i="11"/>
  <c r="F96" i="11"/>
  <c r="E96" i="11"/>
  <c r="F46" i="11"/>
  <c r="E46" i="11"/>
  <c r="F405" i="11"/>
  <c r="E405" i="11"/>
  <c r="F154" i="11"/>
  <c r="E154" i="11"/>
  <c r="E377" i="11"/>
  <c r="F377" i="11"/>
  <c r="E29" i="11"/>
  <c r="F29" i="11"/>
  <c r="E206" i="11"/>
  <c r="F206" i="11"/>
  <c r="F77" i="11"/>
  <c r="E77" i="11"/>
  <c r="E122" i="11"/>
  <c r="F120" i="11"/>
  <c r="E120" i="11"/>
  <c r="G122" i="11"/>
  <c r="F591" i="11"/>
  <c r="E591" i="11"/>
  <c r="G343" i="7"/>
  <c r="H343" i="7"/>
  <c r="G303" i="7"/>
  <c r="H303" i="7"/>
  <c r="G804" i="7"/>
  <c r="I804" i="7"/>
  <c r="G99" i="7"/>
  <c r="H99" i="7"/>
  <c r="H318" i="7"/>
  <c r="G318" i="7"/>
  <c r="H56" i="7"/>
  <c r="G56" i="7"/>
  <c r="H894" i="7"/>
  <c r="G894" i="7"/>
  <c r="H163" i="7"/>
  <c r="G163" i="7"/>
  <c r="G521" i="7"/>
  <c r="H521" i="7"/>
  <c r="H26" i="7"/>
  <c r="G26" i="7"/>
  <c r="G784" i="7"/>
  <c r="I784" i="7"/>
  <c r="H731" i="7"/>
  <c r="G731" i="7"/>
  <c r="G366" i="7"/>
  <c r="H366" i="7"/>
  <c r="G917" i="7"/>
  <c r="H917" i="7"/>
  <c r="G195" i="7"/>
  <c r="H195" i="7"/>
  <c r="H961" i="7"/>
  <c r="G961" i="7"/>
  <c r="G144" i="7"/>
  <c r="H144" i="7"/>
  <c r="G261" i="7"/>
  <c r="H261" i="7"/>
  <c r="H488" i="7"/>
  <c r="G488" i="7"/>
  <c r="G123" i="7"/>
  <c r="H123" i="7"/>
  <c r="H233" i="7" l="1"/>
  <c r="G233" i="7"/>
  <c r="E447" i="11"/>
  <c r="F447" i="11"/>
  <c r="F448" i="11" s="1"/>
  <c r="E136" i="11"/>
  <c r="G136" i="11"/>
  <c r="E155" i="11"/>
  <c r="F155" i="11"/>
  <c r="F47" i="11"/>
  <c r="E47" i="11"/>
  <c r="E281" i="11"/>
  <c r="F281" i="11"/>
  <c r="F351" i="11"/>
  <c r="E351" i="11"/>
  <c r="F378" i="11"/>
  <c r="E378" i="11"/>
  <c r="F406" i="11"/>
  <c r="E406" i="11"/>
  <c r="E97" i="11"/>
  <c r="F97" i="11"/>
  <c r="F258" i="11"/>
  <c r="E258" i="11"/>
  <c r="E121" i="11"/>
  <c r="F121" i="11"/>
  <c r="F207" i="11"/>
  <c r="E207" i="11"/>
  <c r="F30" i="11"/>
  <c r="E30" i="11"/>
  <c r="F592" i="11"/>
  <c r="E592" i="11"/>
  <c r="F78" i="11"/>
  <c r="E78" i="11"/>
  <c r="H344" i="7"/>
  <c r="G344" i="7"/>
  <c r="G304" i="7"/>
  <c r="H304" i="7"/>
  <c r="H100" i="7"/>
  <c r="G100" i="7"/>
  <c r="G895" i="7"/>
  <c r="H895" i="7"/>
  <c r="G319" i="7"/>
  <c r="H319" i="7"/>
  <c r="H732" i="7"/>
  <c r="G732" i="7"/>
  <c r="H27" i="7"/>
  <c r="G27" i="7"/>
  <c r="G164" i="7"/>
  <c r="H164" i="7"/>
  <c r="H57" i="7"/>
  <c r="G57" i="7"/>
  <c r="H367" i="7"/>
  <c r="G367" i="7"/>
  <c r="G522" i="7"/>
  <c r="H522" i="7"/>
  <c r="G196" i="7"/>
  <c r="H196" i="7"/>
  <c r="H918" i="7"/>
  <c r="G918" i="7"/>
  <c r="G145" i="7"/>
  <c r="H145" i="7"/>
  <c r="G262" i="7"/>
  <c r="H262" i="7"/>
  <c r="H489" i="7"/>
  <c r="G489" i="7"/>
  <c r="H962" i="7"/>
  <c r="G962" i="7"/>
  <c r="H124" i="7"/>
  <c r="G124" i="7"/>
  <c r="H234" i="7" l="1"/>
  <c r="G234" i="7"/>
  <c r="F259" i="11"/>
  <c r="E259" i="11"/>
  <c r="E407" i="11"/>
  <c r="F407" i="11"/>
  <c r="F352" i="11"/>
  <c r="E352" i="11"/>
  <c r="E48" i="11"/>
  <c r="F48" i="11"/>
  <c r="F98" i="11"/>
  <c r="E98" i="11"/>
  <c r="G282" i="11"/>
  <c r="E282" i="11"/>
  <c r="F156" i="11"/>
  <c r="E156" i="11"/>
  <c r="H345" i="7"/>
  <c r="G345" i="7"/>
  <c r="E379" i="11"/>
  <c r="F379" i="11"/>
  <c r="H146" i="7"/>
  <c r="G146" i="7"/>
  <c r="E79" i="11"/>
  <c r="F79" i="11"/>
  <c r="F593" i="11"/>
  <c r="E593" i="11"/>
  <c r="E31" i="11"/>
  <c r="F31" i="11"/>
  <c r="F208" i="11"/>
  <c r="E208" i="11"/>
  <c r="G305" i="7"/>
  <c r="H305" i="7"/>
  <c r="G101" i="7"/>
  <c r="H101" i="7"/>
  <c r="G165" i="7"/>
  <c r="H165" i="7"/>
  <c r="G896" i="7"/>
  <c r="H896" i="7"/>
  <c r="G523" i="7"/>
  <c r="H523" i="7"/>
  <c r="G320" i="7"/>
  <c r="H320" i="7"/>
  <c r="H58" i="7"/>
  <c r="G58" i="7"/>
  <c r="G28" i="7"/>
  <c r="H28" i="7"/>
  <c r="G368" i="7"/>
  <c r="H368" i="7"/>
  <c r="G733" i="7"/>
  <c r="H733" i="7"/>
  <c r="G919" i="7"/>
  <c r="H919" i="7"/>
  <c r="G197" i="7"/>
  <c r="H197" i="7"/>
  <c r="H263" i="7"/>
  <c r="G263" i="7"/>
  <c r="H963" i="7"/>
  <c r="G963" i="7"/>
  <c r="G490" i="7"/>
  <c r="H490" i="7"/>
  <c r="G125" i="7"/>
  <c r="H125" i="7"/>
  <c r="H235" i="7" l="1"/>
  <c r="G235" i="7"/>
  <c r="H346" i="7"/>
  <c r="G346" i="7"/>
  <c r="G166" i="7"/>
  <c r="H166" i="7"/>
  <c r="F408" i="11"/>
  <c r="E408" i="11"/>
  <c r="E380" i="11"/>
  <c r="F380" i="11"/>
  <c r="F49" i="11"/>
  <c r="E49" i="11"/>
  <c r="F157" i="11"/>
  <c r="E157" i="11"/>
  <c r="F99" i="11"/>
  <c r="E99" i="11"/>
  <c r="F353" i="11"/>
  <c r="E353" i="11"/>
  <c r="E260" i="11"/>
  <c r="F260" i="11"/>
  <c r="H147" i="7"/>
  <c r="G147" i="7"/>
  <c r="E32" i="11"/>
  <c r="F32" i="11"/>
  <c r="F80" i="11"/>
  <c r="E80" i="11"/>
  <c r="F209" i="11"/>
  <c r="E209" i="11"/>
  <c r="F594" i="11"/>
  <c r="E594" i="11"/>
  <c r="H306" i="7"/>
  <c r="G306" i="7"/>
  <c r="H102" i="7"/>
  <c r="G102" i="7"/>
  <c r="H59" i="7"/>
  <c r="G59" i="7"/>
  <c r="G734" i="7"/>
  <c r="H734" i="7"/>
  <c r="G29" i="7"/>
  <c r="H29" i="7"/>
  <c r="H321" i="7"/>
  <c r="G321" i="7"/>
  <c r="G897" i="7"/>
  <c r="H897" i="7"/>
  <c r="G369" i="7"/>
  <c r="H369" i="7"/>
  <c r="G524" i="7"/>
  <c r="H524" i="7"/>
  <c r="G198" i="7"/>
  <c r="H198" i="7"/>
  <c r="G920" i="7"/>
  <c r="H920" i="7"/>
  <c r="G964" i="7"/>
  <c r="H964" i="7"/>
  <c r="G264" i="7"/>
  <c r="H264" i="7"/>
  <c r="H491" i="7"/>
  <c r="G491" i="7"/>
  <c r="H126" i="7"/>
  <c r="G126" i="7"/>
  <c r="H236" i="7" l="1"/>
  <c r="G236" i="7"/>
  <c r="G167" i="7"/>
  <c r="H167" i="7"/>
  <c r="F354" i="11"/>
  <c r="E354" i="11"/>
  <c r="F158" i="11"/>
  <c r="E158" i="11"/>
  <c r="F261" i="11"/>
  <c r="E261" i="11"/>
  <c r="F381" i="11"/>
  <c r="E381" i="11"/>
  <c r="F100" i="11"/>
  <c r="E100" i="11"/>
  <c r="E50" i="11"/>
  <c r="F50" i="11"/>
  <c r="E409" i="11"/>
  <c r="F409" i="11"/>
  <c r="H347" i="7"/>
  <c r="G347" i="7"/>
  <c r="H148" i="7"/>
  <c r="G148" i="7"/>
  <c r="E33" i="11"/>
  <c r="F33" i="11"/>
  <c r="E34" i="11" s="1"/>
  <c r="G34" i="11" s="1"/>
  <c r="E595" i="11"/>
  <c r="F595" i="11"/>
  <c r="E210" i="11"/>
  <c r="F210" i="11"/>
  <c r="E81" i="11"/>
  <c r="F81" i="11"/>
  <c r="G307" i="7"/>
  <c r="I307" i="7"/>
  <c r="G103" i="7"/>
  <c r="H103" i="7"/>
  <c r="H60" i="7"/>
  <c r="G60" i="7"/>
  <c r="I371" i="7"/>
  <c r="H735" i="7"/>
  <c r="G735" i="7"/>
  <c r="G322" i="7"/>
  <c r="H322" i="7"/>
  <c r="G525" i="7"/>
  <c r="H525" i="7"/>
  <c r="G898" i="7"/>
  <c r="H898" i="7"/>
  <c r="G30" i="7"/>
  <c r="H30" i="7"/>
  <c r="H921" i="7"/>
  <c r="G921" i="7"/>
  <c r="H199" i="7"/>
  <c r="G199" i="7"/>
  <c r="G965" i="7"/>
  <c r="H965" i="7"/>
  <c r="G265" i="7"/>
  <c r="H265" i="7"/>
  <c r="H492" i="7"/>
  <c r="G492" i="7"/>
  <c r="G127" i="7"/>
  <c r="H127" i="7"/>
  <c r="F410" i="11" l="1"/>
  <c r="E410" i="11"/>
  <c r="F101" i="11"/>
  <c r="E101" i="11"/>
  <c r="E262" i="11"/>
  <c r="F262" i="11"/>
  <c r="E355" i="11"/>
  <c r="F355" i="11"/>
  <c r="F51" i="11"/>
  <c r="E51" i="11"/>
  <c r="H168" i="7"/>
  <c r="G168" i="7"/>
  <c r="H348" i="7"/>
  <c r="G348" i="7"/>
  <c r="E382" i="11"/>
  <c r="F382" i="11"/>
  <c r="F159" i="11"/>
  <c r="E159" i="11"/>
  <c r="H149" i="7"/>
  <c r="G149" i="7"/>
  <c r="F82" i="11"/>
  <c r="E82" i="11"/>
  <c r="E211" i="11"/>
  <c r="F211" i="11"/>
  <c r="E596" i="11"/>
  <c r="F596" i="11"/>
  <c r="H104" i="7"/>
  <c r="G104" i="7"/>
  <c r="G31" i="7"/>
  <c r="H31" i="7"/>
  <c r="G526" i="7"/>
  <c r="H526" i="7"/>
  <c r="G736" i="7"/>
  <c r="H736" i="7"/>
  <c r="H737" i="7" s="1"/>
  <c r="H738" i="7" s="1"/>
  <c r="H739" i="7" s="1"/>
  <c r="H740" i="7" s="1"/>
  <c r="H61" i="7"/>
  <c r="G61" i="7"/>
  <c r="G899" i="7"/>
  <c r="H899" i="7"/>
  <c r="H323" i="7"/>
  <c r="G323" i="7"/>
  <c r="G200" i="7"/>
  <c r="H200" i="7"/>
  <c r="H922" i="7"/>
  <c r="G922" i="7"/>
  <c r="H266" i="7"/>
  <c r="G266" i="7"/>
  <c r="H966" i="7"/>
  <c r="G966" i="7"/>
  <c r="H493" i="7"/>
  <c r="G493" i="7"/>
  <c r="G128" i="7"/>
  <c r="H128" i="7"/>
  <c r="G349" i="7" l="1"/>
  <c r="H349" i="7"/>
  <c r="G169" i="7"/>
  <c r="H169" i="7"/>
  <c r="F102" i="11"/>
  <c r="E102" i="11"/>
  <c r="F383" i="11"/>
  <c r="E383" i="11"/>
  <c r="F356" i="11"/>
  <c r="E356" i="11"/>
  <c r="E263" i="11"/>
  <c r="F263" i="11"/>
  <c r="E268" i="11" s="1"/>
  <c r="F160" i="11"/>
  <c r="E160" i="11"/>
  <c r="F52" i="11"/>
  <c r="E52" i="11"/>
  <c r="F411" i="11"/>
  <c r="E411" i="11"/>
  <c r="H150" i="7"/>
  <c r="G150" i="7"/>
  <c r="F597" i="11"/>
  <c r="F598" i="11"/>
  <c r="E597" i="11"/>
  <c r="E212" i="11"/>
  <c r="F212" i="11"/>
  <c r="E83" i="11"/>
  <c r="F83" i="11"/>
  <c r="H741" i="7"/>
  <c r="G741" i="7"/>
  <c r="G105" i="7"/>
  <c r="H105" i="7"/>
  <c r="G900" i="7"/>
  <c r="H900" i="7"/>
  <c r="G32" i="7"/>
  <c r="H32" i="7"/>
  <c r="G527" i="7"/>
  <c r="H527" i="7"/>
  <c r="G324" i="7"/>
  <c r="H324" i="7"/>
  <c r="H62" i="7"/>
  <c r="G62" i="7"/>
  <c r="G923" i="7"/>
  <c r="H923" i="7"/>
  <c r="G201" i="7"/>
  <c r="H201" i="7"/>
  <c r="H967" i="7"/>
  <c r="G967" i="7"/>
  <c r="G267" i="7"/>
  <c r="H267" i="7"/>
  <c r="G494" i="7"/>
  <c r="H494" i="7"/>
  <c r="G129" i="7"/>
  <c r="H129" i="7"/>
  <c r="H350" i="7" l="1"/>
  <c r="G350" i="7"/>
  <c r="F53" i="11"/>
  <c r="E53" i="11"/>
  <c r="F161" i="11"/>
  <c r="E161" i="11"/>
  <c r="F357" i="11"/>
  <c r="E357" i="11"/>
  <c r="E103" i="11"/>
  <c r="F103" i="11"/>
  <c r="H170" i="7"/>
  <c r="G170" i="7"/>
  <c r="F412" i="11"/>
  <c r="E412" i="11"/>
  <c r="E384" i="11"/>
  <c r="F384" i="11"/>
  <c r="H151" i="7"/>
  <c r="G151" i="7"/>
  <c r="F599" i="11"/>
  <c r="E599" i="11"/>
  <c r="E84" i="11"/>
  <c r="F84" i="11"/>
  <c r="F213" i="11"/>
  <c r="E213" i="11"/>
  <c r="H742" i="7"/>
  <c r="G742" i="7"/>
  <c r="G106" i="7"/>
  <c r="H106" i="7"/>
  <c r="H528" i="7"/>
  <c r="G528" i="7"/>
  <c r="G901" i="7"/>
  <c r="H901" i="7"/>
  <c r="H63" i="7"/>
  <c r="H64" i="7" s="1"/>
  <c r="G63" i="7"/>
  <c r="G325" i="7"/>
  <c r="H325" i="7"/>
  <c r="G33" i="7"/>
  <c r="H33" i="7"/>
  <c r="G202" i="7"/>
  <c r="H202" i="7"/>
  <c r="H924" i="7"/>
  <c r="G924" i="7"/>
  <c r="H268" i="7"/>
  <c r="G268" i="7"/>
  <c r="H495" i="7"/>
  <c r="G495" i="7"/>
  <c r="G968" i="7"/>
  <c r="H968" i="7"/>
  <c r="H351" i="7" l="1"/>
  <c r="G351" i="7"/>
  <c r="E104" i="11"/>
  <c r="F104" i="11"/>
  <c r="E413" i="11"/>
  <c r="F413" i="11"/>
  <c r="E162" i="11"/>
  <c r="F162" i="11"/>
  <c r="G385" i="11"/>
  <c r="E385" i="11"/>
  <c r="G171" i="7"/>
  <c r="H171" i="7"/>
  <c r="F358" i="11"/>
  <c r="E358" i="11"/>
  <c r="F54" i="11"/>
  <c r="E54" i="11"/>
  <c r="F85" i="11"/>
  <c r="E85" i="11"/>
  <c r="F214" i="11"/>
  <c r="E214" i="11"/>
  <c r="F600" i="11"/>
  <c r="E600" i="11"/>
  <c r="H743" i="7"/>
  <c r="G743" i="7"/>
  <c r="G107" i="7"/>
  <c r="H107" i="7"/>
  <c r="G65" i="7"/>
  <c r="H65" i="7"/>
  <c r="H529" i="7"/>
  <c r="G529" i="7"/>
  <c r="G326" i="7"/>
  <c r="H326" i="7"/>
  <c r="G902" i="7"/>
  <c r="H902" i="7"/>
  <c r="G34" i="7"/>
  <c r="H34" i="7"/>
  <c r="H925" i="7"/>
  <c r="G925" i="7"/>
  <c r="G203" i="7"/>
  <c r="H203" i="7"/>
  <c r="H969" i="7"/>
  <c r="G969" i="7"/>
  <c r="G496" i="7"/>
  <c r="H496" i="7"/>
  <c r="G269" i="7"/>
  <c r="H269" i="7"/>
  <c r="H497" i="7" l="1"/>
  <c r="H498" i="7" s="1"/>
  <c r="G497" i="7"/>
  <c r="H352" i="7"/>
  <c r="G352" i="7"/>
  <c r="E359" i="11"/>
  <c r="F359" i="11"/>
  <c r="E163" i="11"/>
  <c r="F163" i="11"/>
  <c r="E105" i="11"/>
  <c r="F105" i="11"/>
  <c r="G414" i="11"/>
  <c r="E414" i="11"/>
  <c r="G601" i="11"/>
  <c r="E601" i="11"/>
  <c r="F215" i="11"/>
  <c r="E215" i="11"/>
  <c r="E86" i="11"/>
  <c r="F86" i="11"/>
  <c r="G744" i="7"/>
  <c r="H744" i="7"/>
  <c r="G108" i="7"/>
  <c r="H108" i="7"/>
  <c r="G903" i="7"/>
  <c r="I903" i="7"/>
  <c r="H530" i="7"/>
  <c r="G530" i="7"/>
  <c r="H35" i="7"/>
  <c r="G35" i="7"/>
  <c r="H327" i="7"/>
  <c r="G327" i="7"/>
  <c r="H66" i="7"/>
  <c r="G66" i="7"/>
  <c r="H204" i="7"/>
  <c r="G204" i="7"/>
  <c r="G926" i="7"/>
  <c r="H926" i="7"/>
  <c r="G270" i="7"/>
  <c r="H270" i="7"/>
  <c r="H970" i="7"/>
  <c r="G970" i="7"/>
  <c r="G498" i="7" l="1"/>
  <c r="H353" i="7"/>
  <c r="I355" i="7" s="1"/>
  <c r="G353" i="7"/>
  <c r="E164" i="11"/>
  <c r="F164" i="11"/>
  <c r="E360" i="11"/>
  <c r="F360" i="11"/>
  <c r="F216" i="11"/>
  <c r="E216" i="11"/>
  <c r="G531" i="7"/>
  <c r="H531" i="7"/>
  <c r="H745" i="7"/>
  <c r="G745" i="7"/>
  <c r="H109" i="7"/>
  <c r="G109" i="7"/>
  <c r="H67" i="7"/>
  <c r="G67" i="7"/>
  <c r="G36" i="7"/>
  <c r="H36" i="7"/>
  <c r="G927" i="7"/>
  <c r="H927" i="7"/>
  <c r="H205" i="7"/>
  <c r="G205" i="7"/>
  <c r="G271" i="7"/>
  <c r="H271" i="7"/>
  <c r="H971" i="7"/>
  <c r="G971" i="7"/>
  <c r="H499" i="7" l="1"/>
  <c r="G499" i="7"/>
  <c r="E361" i="11"/>
  <c r="F361" i="11"/>
  <c r="E165" i="11"/>
  <c r="F165" i="11"/>
  <c r="E217" i="11"/>
  <c r="F217" i="11"/>
  <c r="H532" i="7"/>
  <c r="G532" i="7"/>
  <c r="H746" i="7"/>
  <c r="G746" i="7"/>
  <c r="G110" i="7"/>
  <c r="H110" i="7"/>
  <c r="G68" i="7"/>
  <c r="H68" i="7"/>
  <c r="G37" i="7"/>
  <c r="H37" i="7"/>
  <c r="H206" i="7"/>
  <c r="G206" i="7"/>
  <c r="G928" i="7"/>
  <c r="H928" i="7"/>
  <c r="G272" i="7"/>
  <c r="H272" i="7"/>
  <c r="G972" i="7"/>
  <c r="H972" i="7"/>
  <c r="G500" i="7" l="1"/>
  <c r="I500" i="7" s="1"/>
  <c r="F166" i="11"/>
  <c r="E166" i="11"/>
  <c r="E362" i="11"/>
  <c r="F362" i="11"/>
  <c r="E218" i="11"/>
  <c r="F218" i="11"/>
  <c r="H533" i="7"/>
  <c r="G533" i="7"/>
  <c r="H747" i="7"/>
  <c r="G747" i="7"/>
  <c r="G38" i="7"/>
  <c r="H38" i="7"/>
  <c r="H69" i="7"/>
  <c r="G69" i="7"/>
  <c r="H929" i="7"/>
  <c r="G929" i="7"/>
  <c r="H207" i="7"/>
  <c r="G207" i="7"/>
  <c r="G273" i="7"/>
  <c r="H273" i="7"/>
  <c r="G973" i="7"/>
  <c r="I973" i="7"/>
  <c r="E363" i="11" l="1"/>
  <c r="F363" i="11"/>
  <c r="F167" i="11"/>
  <c r="E167" i="11"/>
  <c r="E219" i="11"/>
  <c r="F219" i="11"/>
  <c r="G534" i="7"/>
  <c r="H534" i="7"/>
  <c r="I748" i="7"/>
  <c r="G748" i="7"/>
  <c r="H70" i="7"/>
  <c r="G70" i="7"/>
  <c r="H39" i="7"/>
  <c r="G39" i="7"/>
  <c r="G208" i="7"/>
  <c r="H208" i="7"/>
  <c r="H930" i="7"/>
  <c r="G930" i="7"/>
  <c r="H274" i="7"/>
  <c r="G274" i="7"/>
  <c r="E364" i="11" l="1"/>
  <c r="F364" i="11"/>
  <c r="E168" i="11"/>
  <c r="F168" i="11"/>
  <c r="E220" i="11"/>
  <c r="F220" i="11"/>
  <c r="H535" i="7"/>
  <c r="G535" i="7"/>
  <c r="G71" i="7"/>
  <c r="H71" i="7"/>
  <c r="H40" i="7"/>
  <c r="G40" i="7"/>
  <c r="G931" i="7"/>
  <c r="H931" i="7"/>
  <c r="G209" i="7"/>
  <c r="H209" i="7"/>
  <c r="H275" i="7"/>
  <c r="G275" i="7"/>
  <c r="F365" i="11" l="1"/>
  <c r="E365" i="11"/>
  <c r="E221" i="11"/>
  <c r="F221" i="11"/>
  <c r="G536" i="7"/>
  <c r="H536" i="7"/>
  <c r="G41" i="7"/>
  <c r="H41" i="7"/>
  <c r="G72" i="7"/>
  <c r="H72" i="7"/>
  <c r="G210" i="7"/>
  <c r="H210" i="7"/>
  <c r="G932" i="7"/>
  <c r="H932" i="7"/>
  <c r="G276" i="7"/>
  <c r="H276" i="7"/>
  <c r="H73" i="7" l="1"/>
  <c r="G73" i="7"/>
  <c r="F366" i="11"/>
  <c r="G367" i="11" s="1"/>
  <c r="E366" i="11"/>
  <c r="F222" i="11"/>
  <c r="E222" i="11"/>
  <c r="H537" i="7"/>
  <c r="G537" i="7"/>
  <c r="G42" i="7"/>
  <c r="H42" i="7"/>
  <c r="G933" i="7"/>
  <c r="H933" i="7"/>
  <c r="G211" i="7"/>
  <c r="H211" i="7"/>
  <c r="G277" i="7"/>
  <c r="H277" i="7"/>
  <c r="G74" i="7" l="1"/>
  <c r="H74" i="7"/>
  <c r="E223" i="11"/>
  <c r="G223" i="11"/>
  <c r="H538" i="7"/>
  <c r="G538" i="7"/>
  <c r="G212" i="7"/>
  <c r="H212" i="7"/>
  <c r="G43" i="7"/>
  <c r="H43" i="7"/>
  <c r="G934" i="7"/>
  <c r="H934" i="7"/>
  <c r="G278" i="7"/>
  <c r="H278" i="7"/>
  <c r="G75" i="7" l="1"/>
  <c r="H75" i="7"/>
  <c r="H539" i="7"/>
  <c r="G539" i="7"/>
  <c r="G213" i="7"/>
  <c r="H213" i="7"/>
  <c r="G44" i="7"/>
  <c r="H44" i="7"/>
  <c r="G45" i="7" s="1"/>
  <c r="I45" i="7" s="1"/>
  <c r="G935" i="7"/>
  <c r="H935" i="7"/>
  <c r="I279" i="7"/>
  <c r="G279" i="7"/>
  <c r="G76" i="7" l="1"/>
  <c r="H76" i="7"/>
  <c r="G540" i="7"/>
  <c r="H540" i="7"/>
  <c r="G214" i="7"/>
  <c r="H214" i="7"/>
  <c r="G936" i="7"/>
  <c r="H936" i="7"/>
  <c r="G77" i="7" l="1"/>
  <c r="H77" i="7"/>
  <c r="G215" i="7"/>
  <c r="H215" i="7"/>
  <c r="H541" i="7"/>
  <c r="G542" i="7" s="1"/>
  <c r="I542" i="7" s="1"/>
  <c r="G541" i="7"/>
  <c r="G937" i="7"/>
  <c r="H937" i="7"/>
  <c r="H78" i="7" l="1"/>
  <c r="G78" i="7"/>
  <c r="H216" i="7"/>
  <c r="G216" i="7"/>
  <c r="G938" i="7"/>
  <c r="H938" i="7"/>
  <c r="H79" i="7" l="1"/>
  <c r="G79" i="7"/>
  <c r="G217" i="7"/>
  <c r="H217" i="7"/>
  <c r="H939" i="7"/>
  <c r="G939" i="7"/>
  <c r="H218" i="7" l="1"/>
  <c r="G218" i="7"/>
  <c r="G80" i="7"/>
  <c r="H80" i="7"/>
  <c r="G940" i="7"/>
  <c r="H940" i="7"/>
  <c r="G81" i="7" l="1"/>
  <c r="H81" i="7"/>
  <c r="H219" i="7"/>
  <c r="G219" i="7"/>
  <c r="G941" i="7"/>
  <c r="I941" i="7"/>
  <c r="H238" i="7"/>
  <c r="A654" i="7"/>
  <c r="A655" i="7" s="1"/>
  <c r="A656" i="7" s="1"/>
  <c r="A657" i="7" s="1"/>
  <c r="A658" i="7" s="1"/>
  <c r="A659" i="7" s="1"/>
  <c r="A660" i="7" s="1"/>
  <c r="A661" i="7" s="1"/>
  <c r="A662" i="7" s="1"/>
  <c r="A664" i="7" s="1"/>
  <c r="A665" i="7" s="1"/>
  <c r="A666" i="7" s="1"/>
  <c r="A667" i="7" s="1"/>
  <c r="A668" i="7" s="1"/>
  <c r="A669" i="7" s="1"/>
  <c r="A670" i="7" s="1"/>
  <c r="A671" i="7" s="1"/>
  <c r="A672" i="7" s="1"/>
  <c r="A673" i="7" s="1"/>
  <c r="A674" i="7" s="1"/>
  <c r="A675" i="7" s="1"/>
  <c r="A676" i="7" s="1"/>
  <c r="A677" i="7" s="1"/>
  <c r="A678" i="7" s="1"/>
  <c r="A679" i="7" s="1"/>
  <c r="A680" i="7" s="1"/>
  <c r="A681" i="7" s="1"/>
  <c r="A682" i="7" s="1"/>
  <c r="A683" i="7" s="1"/>
  <c r="A684" i="7" s="1"/>
  <c r="A685" i="7" s="1"/>
  <c r="A686" i="7" s="1"/>
  <c r="A687" i="7" s="1"/>
  <c r="A688" i="7" s="1"/>
  <c r="A689" i="7" s="1"/>
  <c r="A690" i="7" s="1"/>
  <c r="A691" i="7" s="1"/>
  <c r="A692" i="7" s="1"/>
  <c r="A694" i="7" s="1"/>
  <c r="I82" i="7" l="1"/>
  <c r="G82" i="7"/>
  <c r="I220" i="7"/>
  <c r="G220" i="7"/>
  <c r="A592" i="7"/>
  <c r="A593" i="7" s="1"/>
  <c r="A594" i="7" s="1"/>
  <c r="A595" i="7" s="1"/>
  <c r="A596" i="7" s="1"/>
  <c r="A597" i="7" s="1"/>
  <c r="A598" i="7" s="1"/>
  <c r="A599" i="7" s="1"/>
  <c r="A600" i="7" s="1"/>
  <c r="A601" i="7" s="1"/>
  <c r="A603" i="7" s="1"/>
  <c r="A604" i="7" s="1"/>
  <c r="A605" i="7" s="1"/>
  <c r="A606" i="7" s="1"/>
  <c r="A607" i="7" s="1"/>
  <c r="A608" i="7" s="1"/>
  <c r="A609" i="7" s="1"/>
  <c r="A610" i="7" s="1"/>
  <c r="A611" i="7" s="1"/>
  <c r="A612" i="7" s="1"/>
  <c r="A613" i="7" s="1"/>
  <c r="A614" i="7" s="1"/>
  <c r="A615" i="7" s="1"/>
  <c r="A616" i="7" s="1"/>
  <c r="A617" i="7" s="1"/>
  <c r="A618" i="7" s="1"/>
  <c r="A619" i="7" s="1"/>
  <c r="A620" i="7" s="1"/>
  <c r="A621" i="7" s="1"/>
  <c r="A622" i="7" s="1"/>
  <c r="A623" i="7" s="1"/>
  <c r="A624" i="7" s="1"/>
  <c r="A625" i="7" s="1"/>
  <c r="A626" i="7" s="1"/>
  <c r="A627" i="7" s="1"/>
  <c r="A628" i="7" s="1"/>
  <c r="A629" i="7" s="1"/>
  <c r="A630" i="7" s="1"/>
  <c r="A631" i="7" s="1"/>
  <c r="A632" i="7" s="1"/>
  <c r="A633" i="7" s="1"/>
  <c r="A634" i="7" s="1"/>
  <c r="A635" i="7" s="1"/>
  <c r="A636" i="7" s="1"/>
  <c r="A637" i="7" s="1"/>
  <c r="A638" i="7" s="1"/>
  <c r="A639" i="7" s="1"/>
  <c r="A640" i="7" s="1"/>
  <c r="A641" i="7" s="1"/>
  <c r="A642" i="7" s="1"/>
  <c r="A643" i="7" s="1"/>
  <c r="A644" i="7" s="1"/>
  <c r="A645" i="7" s="1"/>
  <c r="A646" i="7" s="1"/>
  <c r="A647" i="7" s="1"/>
  <c r="A648" i="7" s="1"/>
  <c r="A649" i="7" s="1"/>
  <c r="A650" i="7" s="1"/>
  <c r="A651" i="7" s="1"/>
  <c r="A722" i="7" l="1"/>
  <c r="A723" i="7" s="1"/>
  <c r="A724" i="7" s="1"/>
  <c r="A725" i="7" s="1"/>
  <c r="A726" i="7" s="1"/>
  <c r="A727" i="7" s="1"/>
  <c r="A728" i="7" s="1"/>
  <c r="A729" i="7" s="1"/>
  <c r="A730" i="7" s="1"/>
  <c r="A731" i="7" s="1"/>
  <c r="A732" i="7" s="1"/>
  <c r="A733" i="7" s="1"/>
  <c r="A734" i="7" s="1"/>
  <c r="A735" i="7" s="1"/>
  <c r="A736" i="7" s="1"/>
  <c r="A737" i="7" s="1"/>
  <c r="A738" i="7" s="1"/>
  <c r="A739" i="7" s="1"/>
  <c r="A740" i="7" s="1"/>
  <c r="A741" i="7" s="1"/>
  <c r="A742" i="7" s="1"/>
  <c r="A743" i="7" s="1"/>
  <c r="A744" i="7" s="1"/>
  <c r="A745" i="7" s="1"/>
  <c r="A746" i="7" s="1"/>
  <c r="A747" i="7" s="1"/>
  <c r="A748" i="7" s="1"/>
  <c r="A750" i="7" s="1"/>
  <c r="A751" i="7" s="1"/>
  <c r="A752" i="7" s="1"/>
  <c r="A753" i="7" s="1"/>
  <c r="A754" i="7" s="1"/>
  <c r="A755" i="7" s="1"/>
  <c r="A756" i="7" s="1"/>
  <c r="A757" i="7" s="1"/>
  <c r="A758" i="7" s="1"/>
  <c r="A759" i="7" s="1"/>
  <c r="A760" i="7" s="1"/>
  <c r="A761" i="7" s="1"/>
  <c r="A762" i="7" s="1"/>
  <c r="A763" i="7" s="1"/>
  <c r="A765" i="7" s="1"/>
  <c r="A766" i="7" s="1"/>
  <c r="A767" i="7" s="1"/>
  <c r="A768" i="7" s="1"/>
  <c r="A769" i="7" s="1"/>
  <c r="A770" i="7" s="1"/>
  <c r="A771" i="7" s="1"/>
  <c r="A772" i="7" s="1"/>
  <c r="A773" i="7" s="1"/>
  <c r="A775" i="7" s="1"/>
  <c r="A776" i="7" s="1"/>
  <c r="A777" i="7" s="1"/>
  <c r="A778" i="7" s="1"/>
  <c r="A779" i="7" s="1"/>
  <c r="A780" i="7" s="1"/>
  <c r="A781" i="7" s="1"/>
  <c r="A782" i="7" s="1"/>
  <c r="A783" i="7" s="1"/>
  <c r="A784" i="7" s="1"/>
  <c r="A786" i="7" s="1"/>
  <c r="A787" i="7" s="1"/>
  <c r="A788" i="7" s="1"/>
  <c r="A789" i="7" s="1"/>
  <c r="A790" i="7" s="1"/>
  <c r="A791" i="7" s="1"/>
  <c r="A792" i="7" s="1"/>
  <c r="A793" i="7" s="1"/>
  <c r="A795" i="7" s="1"/>
  <c r="A796" i="7" s="1"/>
  <c r="A797" i="7" s="1"/>
  <c r="A798" i="7" s="1"/>
  <c r="A799" i="7" s="1"/>
  <c r="A800" i="7" s="1"/>
  <c r="A801" i="7" s="1"/>
  <c r="A802" i="7" s="1"/>
  <c r="A803" i="7" s="1"/>
  <c r="A804" i="7" s="1"/>
  <c r="A806" i="7" s="1"/>
  <c r="A807" i="7" s="1"/>
  <c r="A808" i="7" s="1"/>
  <c r="A809" i="7" s="1"/>
  <c r="A810" i="7" s="1"/>
  <c r="A811" i="7" s="1"/>
  <c r="A812" i="7" s="1"/>
  <c r="A813" i="7" s="1"/>
  <c r="A814" i="7" s="1"/>
  <c r="A818" i="7" l="1"/>
  <c r="A819" i="7" s="1"/>
  <c r="A820" i="7" s="1"/>
  <c r="A821" i="7" s="1"/>
  <c r="A822" i="7" s="1"/>
  <c r="A823" i="7" s="1"/>
  <c r="A825" i="7" s="1"/>
  <c r="A826" i="7" s="1"/>
  <c r="A827" i="7" s="1"/>
  <c r="A828" i="7" s="1"/>
  <c r="A829" i="7" s="1"/>
  <c r="A831" i="7" s="1"/>
  <c r="A832" i="7" s="1"/>
  <c r="A833" i="7" s="1"/>
  <c r="A834" i="7" s="1"/>
  <c r="A835" i="7" s="1"/>
  <c r="A836" i="7" s="1"/>
  <c r="A837" i="7" s="1"/>
  <c r="A838" i="7" s="1"/>
  <c r="A839" i="7" s="1"/>
  <c r="A840" i="7" s="1"/>
  <c r="A842" i="7" s="1"/>
  <c r="A843" i="7" s="1"/>
  <c r="A844" i="7" s="1"/>
  <c r="A845" i="7" s="1"/>
  <c r="A847" i="7" s="1"/>
  <c r="A848" i="7" s="1"/>
  <c r="A849" i="7" s="1"/>
  <c r="A850" i="7" s="1"/>
  <c r="A852" i="7" s="1"/>
  <c r="A853" i="7" s="1"/>
  <c r="A854" i="7" s="1"/>
  <c r="A856" i="7" s="1"/>
  <c r="A857" i="7" s="1"/>
  <c r="A858" i="7" s="1"/>
  <c r="A859" i="7" s="1"/>
  <c r="A861" i="7" s="1"/>
  <c r="A862" i="7" s="1"/>
  <c r="A863" i="7" s="1"/>
  <c r="A864" i="7" s="1"/>
  <c r="A865" i="7" s="1"/>
  <c r="A867" i="7" s="1"/>
  <c r="A868" i="7" s="1"/>
  <c r="A869" i="7" s="1"/>
  <c r="A870" i="7" s="1"/>
  <c r="A871" i="7" s="1"/>
  <c r="A872" i="7" s="1"/>
  <c r="A874" i="7" s="1"/>
  <c r="A875" i="7" s="1"/>
  <c r="A876" i="7" s="1"/>
  <c r="A877" i="7" s="1"/>
  <c r="A879" i="7" s="1"/>
  <c r="A880" i="7" s="1"/>
  <c r="A881" i="7" s="1"/>
  <c r="A882" i="7" s="1"/>
  <c r="A883" i="7" s="1"/>
  <c r="A885" i="7" s="1"/>
  <c r="A886" i="7" s="1"/>
  <c r="A887" i="7" s="1"/>
  <c r="A888" i="7" s="1"/>
  <c r="A889" i="7" s="1"/>
  <c r="A890" i="7" s="1"/>
  <c r="A891" i="7" s="1"/>
  <c r="A892" i="7" s="1"/>
  <c r="A893" i="7" s="1"/>
  <c r="A894" i="7" s="1"/>
  <c r="A895" i="7" s="1"/>
  <c r="A896" i="7" s="1"/>
  <c r="A897" i="7" s="1"/>
  <c r="A898" i="7" s="1"/>
  <c r="A899" i="7" s="1"/>
  <c r="A900" i="7" s="1"/>
  <c r="A901" i="7" s="1"/>
  <c r="A902" i="7" s="1"/>
  <c r="A903" i="7" s="1"/>
  <c r="A905" i="7" s="1"/>
  <c r="A906" i="7" s="1"/>
  <c r="A907" i="7" s="1"/>
  <c r="A908" i="7" s="1"/>
  <c r="A909" i="7" s="1"/>
  <c r="A910" i="7" s="1"/>
  <c r="A911" i="7" s="1"/>
  <c r="A912" i="7" s="1"/>
  <c r="A913" i="7" s="1"/>
  <c r="A914" i="7" s="1"/>
  <c r="A915" i="7" s="1"/>
  <c r="A916" i="7" s="1"/>
  <c r="A917" i="7" s="1"/>
  <c r="A918" i="7" s="1"/>
  <c r="A919" i="7" s="1"/>
  <c r="A920" i="7" s="1"/>
  <c r="A921" i="7" s="1"/>
  <c r="A922" i="7" s="1"/>
  <c r="A923" i="7" s="1"/>
  <c r="A924" i="7" s="1"/>
  <c r="A925" i="7" s="1"/>
  <c r="A926" i="7" s="1"/>
  <c r="A927" i="7" s="1"/>
  <c r="A928" i="7" s="1"/>
  <c r="A929" i="7" s="1"/>
  <c r="A930" i="7" s="1"/>
  <c r="A931" i="7" s="1"/>
  <c r="A932" i="7" s="1"/>
  <c r="A933" i="7" s="1"/>
  <c r="A934" i="7" s="1"/>
  <c r="A935" i="7" s="1"/>
  <c r="A936" i="7" s="1"/>
  <c r="A937" i="7" s="1"/>
  <c r="A938" i="7" s="1"/>
  <c r="A939" i="7" s="1"/>
  <c r="A940" i="7" s="1"/>
  <c r="A941" i="7" s="1"/>
  <c r="A945" i="7" s="1"/>
  <c r="A946" i="7" s="1"/>
  <c r="A948" i="7" s="1"/>
  <c r="A949" i="7" s="1"/>
  <c r="A950" i="7" s="1"/>
  <c r="A951" i="7" s="1"/>
  <c r="A952" i="7" s="1"/>
  <c r="A953" i="7" s="1"/>
  <c r="A954" i="7" s="1"/>
  <c r="A955" i="7" s="1"/>
  <c r="A956" i="7" s="1"/>
  <c r="A957" i="7" s="1"/>
  <c r="A958" i="7" s="1"/>
  <c r="A959" i="7" s="1"/>
  <c r="A960" i="7" s="1"/>
  <c r="A961" i="7" s="1"/>
  <c r="A962" i="7" s="1"/>
  <c r="A963" i="7" s="1"/>
  <c r="A964" i="7" s="1"/>
  <c r="A965" i="7" s="1"/>
  <c r="A966" i="7" s="1"/>
  <c r="A967" i="7" s="1"/>
  <c r="A968" i="7" s="1"/>
  <c r="A969" i="7" s="1"/>
  <c r="A970" i="7" s="1"/>
  <c r="A971" i="7" s="1"/>
  <c r="A972" i="7" s="1"/>
  <c r="A973" i="7" s="1"/>
  <c r="A975" i="7" s="1"/>
  <c r="A976" i="7" s="1"/>
  <c r="A977" i="7" s="1"/>
  <c r="A978" i="7" s="1"/>
  <c r="A979" i="7" s="1"/>
  <c r="A980" i="7" s="1"/>
  <c r="A981" i="7" s="1"/>
  <c r="A982" i="7" s="1"/>
  <c r="A983" i="7" s="1"/>
  <c r="A984" i="7" s="1"/>
  <c r="A985" i="7" s="1"/>
  <c r="A986" i="7" s="1"/>
  <c r="A988" i="7" s="1"/>
  <c r="A989" i="7" s="1"/>
  <c r="A990" i="7" s="1"/>
  <c r="A993" i="7" s="1"/>
  <c r="A994" i="7" s="1"/>
  <c r="A997" i="7" s="1"/>
  <c r="A998" i="7" s="1"/>
  <c r="A999" i="7" s="1"/>
  <c r="A1000" i="7" s="1"/>
  <c r="A1001" i="7" s="1"/>
  <c r="A1002" i="7" s="1"/>
  <c r="A1003" i="7" s="1"/>
  <c r="A1006" i="7" s="1"/>
  <c r="A1007" i="7" s="1"/>
  <c r="A1008" i="7" s="1"/>
  <c r="A1009" i="7" s="1"/>
  <c r="A1010" i="7" s="1"/>
  <c r="A1011" i="7" s="1"/>
  <c r="A1012" i="7" s="1"/>
  <c r="A1013" i="7" s="1"/>
  <c r="A1014" i="7" s="1"/>
  <c r="A1017" i="7" s="1"/>
  <c r="A1018" i="7" s="1"/>
  <c r="A1019" i="7" s="1"/>
  <c r="A1020" i="7" s="1"/>
  <c r="A1021" i="7" s="1"/>
  <c r="A1022" i="7" s="1"/>
  <c r="A1023" i="7" s="1"/>
  <c r="A1024" i="7" s="1"/>
  <c r="A1025" i="7" s="1"/>
  <c r="A1026" i="7" s="1"/>
  <c r="A1027" i="7" s="1"/>
  <c r="A1028" i="7" s="1"/>
  <c r="A1029" i="7" s="1"/>
  <c r="A1030" i="7" s="1"/>
  <c r="A1031" i="7" s="1"/>
  <c r="A1032" i="7" s="1"/>
  <c r="A1033" i="7" s="1"/>
  <c r="A1035" i="7" s="1"/>
  <c r="A1036" i="7" s="1"/>
</calcChain>
</file>

<file path=xl/sharedStrings.xml><?xml version="1.0" encoding="utf-8"?>
<sst xmlns="http://schemas.openxmlformats.org/spreadsheetml/2006/main" count="6485" uniqueCount="2146">
  <si>
    <t>Projeto: SPED - Modulo NF-e</t>
  </si>
  <si>
    <t>Definição do Layout para Interface da Nota Fiscal Eletrônica - Emissão - INPUT no e-Forms - Versão XML 4.00</t>
  </si>
  <si>
    <t>Item</t>
  </si>
  <si>
    <t>Descrição</t>
  </si>
  <si>
    <t># XML</t>
  </si>
  <si>
    <t>Inicio</t>
  </si>
  <si>
    <t>Fim</t>
  </si>
  <si>
    <t>Tamanho</t>
  </si>
  <si>
    <t>Tipo</t>
  </si>
  <si>
    <t>Decimais</t>
  </si>
  <si>
    <t>Formato</t>
  </si>
  <si>
    <t>Considerações</t>
  </si>
  <si>
    <t>Registro Header</t>
  </si>
  <si>
    <t>Tipo Registro</t>
  </si>
  <si>
    <t>NA</t>
  </si>
  <si>
    <t>C</t>
  </si>
  <si>
    <t>Fixo "HEADER"</t>
  </si>
  <si>
    <t>Data</t>
  </si>
  <si>
    <t>N</t>
  </si>
  <si>
    <t>AAAAMMDD</t>
  </si>
  <si>
    <t>Data de geração do Arquivo</t>
  </si>
  <si>
    <t>Hora</t>
  </si>
  <si>
    <t>HHMMSSCCC</t>
  </si>
  <si>
    <t>Hora de geração do Arquivo</t>
  </si>
  <si>
    <t>Empresa</t>
  </si>
  <si>
    <t>Nome fantasia da Empresa</t>
  </si>
  <si>
    <t>CNPJ-Emissor-NF</t>
  </si>
  <si>
    <t>Numero sem edição</t>
  </si>
  <si>
    <t>Filler</t>
  </si>
  <si>
    <t>Spaces</t>
  </si>
  <si>
    <t>Registro de Dados</t>
  </si>
  <si>
    <t>Trailer Seqüencial faixa 000001 a 989999</t>
  </si>
  <si>
    <t>Bloco-000 - Informações de Controle do Sistema de Origem da Nota Fiscal</t>
  </si>
  <si>
    <t>Informe com "000"</t>
  </si>
  <si>
    <t>Controle da Versão do Arquivo</t>
  </si>
  <si>
    <t>001</t>
  </si>
  <si>
    <t>Enviar de acordo com a versão do documento emitido:
Versão 3.10 = 310
Versão 4.00 = 400</t>
  </si>
  <si>
    <t>Modelo-NF</t>
  </si>
  <si>
    <t>00 = Modelo DANFE
01 = Modelo PAPEL MOEDA</t>
  </si>
  <si>
    <t>Serie-NF</t>
  </si>
  <si>
    <t>Informe a Serie do Modelo DANFE</t>
  </si>
  <si>
    <t>Sequencial-NF_Inicial</t>
  </si>
  <si>
    <t>"000000000"</t>
  </si>
  <si>
    <t>Numero Inicial da NF-e a ser Inutilizado
Incluir quando necessário zeros a esquerda para compor 9 digitos</t>
  </si>
  <si>
    <t>Serie-NF-Contingencia-Scan</t>
  </si>
  <si>
    <t>Informe a Serie SCAN - Faixa de 900 a 999</t>
  </si>
  <si>
    <t>Tipo-Operação-NF</t>
  </si>
  <si>
    <t>0 = Gerar NF-e
1 = Cancelamento da NF-e
2 = Inutilização da NF-e individual - única NF-e
3 = Inutilização por faixa sequencial de NF-e</t>
  </si>
  <si>
    <t>Chave-Acesso
12 1234 12345678901234 12 123123456789 1 12345678 1</t>
  </si>
  <si>
    <t>Efetuar preenchimento com a Chave de acesso da DANFE
Obrigatorio para operação de gera NF-e e Cancelamento.
Redefinição da Chave de acesso da DANFE onde temos:
UF = 2;  AAMM = 4; CNPJ = 14; Modelo = 2; Série = 3; Numero NF-e =  9; Forma de Emissão = 1; Codigo Numerico = 8; Digito = 1
Para o campo Forma de Emissão deve informar:
1 = Normal NF-e - Emissão Nomal.
2 = Contingência FS - Emissão em contingência com Impressão do DANFE em Formulário de Segurança.
3 - Contingência SCAN - Emissão em contingência no Sistema de Contingência do Ambiente Nacional - SCAN.
4 - Contingência DPEC - Emissão em contingência com envio da Declaração Prévia de Emissão em Contingência - DPEC.
5 - Contingência FS-DA - Emissão em contingência com impressão do DANFE em Formulário de Segurança para Impressão de Documento Auxiliar de Documento Fiscal Eletrônico (FS-DA).</t>
  </si>
  <si>
    <t>Nro-Protocolo-Autorização</t>
  </si>
  <si>
    <t>Efetuar preenchimento quando for opção de cancelamento de uma NF-e
Codigo de Autorização da SEFAZ - Origem no Bloco 230 posição 4 a 18 tamanho 15 do arquivo de OUTPUT</t>
  </si>
  <si>
    <t>CNPJ-Emitente-NF-Canc-Inutilização</t>
  </si>
  <si>
    <t>Efetuar preenchimento quando for opção de cancelamento de uma NF-e</t>
  </si>
  <si>
    <t>Data-Emissão-NF-Canc-Inutilização</t>
  </si>
  <si>
    <t>YYYYMMDDHHMMSS</t>
  </si>
  <si>
    <t>Efetuar preenchimento quando for opção de cancelamento de uma NF-e
Origem no Bloco 210 posição 93 a 106 tamanho 14 do arquivo de OUTPUT</t>
  </si>
  <si>
    <t>Justificativa-Canc-Inutilização</t>
  </si>
  <si>
    <t>Efetuar preenchimento quando for opção de cancelamento ou inutilização de uma NF-e</t>
  </si>
  <si>
    <t>CNPJ-Emitente-NF</t>
  </si>
  <si>
    <t>CNPJ (sem edição dos campos)</t>
  </si>
  <si>
    <t>Codigo-Plataforma</t>
  </si>
  <si>
    <t>001 - Mainframe Fiasa / Iveco / FPT
002 - SAP Fiasa
003 - SAP Iveco
004 - SAP FPT
005 - SAP Grupo CNH
006 - SAP Grupo Marelli
007 - SAP Comau
008 - SAP Teksid
009 - e-Comex
010 - AS400 Marelli/Cofap
011 - AS400 Marelli
012 - Unisys Teksid
013 - RM Sistemas
014 - Protheus Iveco L.A.
015 - Iveco/CS
016 - JDE Marelli Auto Peças</t>
  </si>
  <si>
    <t>Codigo -Conector</t>
  </si>
  <si>
    <t>001 - MQSeries
002 - Connect Direct
003 - RFC IDOC SAP
004 - NetWeaver
005 - FTP
006 - Tema Spazio
007 - Wrapper com MQSeries</t>
  </si>
  <si>
    <t>Codigo-Impressão</t>
  </si>
  <si>
    <t>0 - Sem impressão pelo Sign@ture
1 - Com impressão automatica pelo Sign@ture
2 - Com impressão retida no Sign@ture</t>
  </si>
  <si>
    <t>Vias-Impressão</t>
  </si>
  <si>
    <t>01 - DANFE ou Contigência impressão em 01 via.
02 - DANFE ou Contigência impressão em 02 vias.
03 - DANFE ou Contigência impressão em 03 vias.
04 - DANFE ou Contigência impressão em 04 vias.
05 - DANFE ou Contigência impressão em 05 vias.</t>
  </si>
  <si>
    <t>Codigo-Bandeja-Impressão</t>
  </si>
  <si>
    <t>Regra para composição dos Formulario nas Bandejas
12 - 1 para DANFE e 2 para Contingência
13 - 1 para DANFE e 3 para Contingência
14 - 1 para DANFE e 4 para Contingência
21 - 2 para DANFE e 1 para Contingência
23 - 2 para DANFE e 3 para Contingência
24 - 2 para DANFE e 4 para Contingência
31 - 3 para DANFE e 1 para Contingência
32 - 3 para DANFE e 2 para Contingência
34 - 3 para DANFE e 4 para Contingência
41 - 4 para DANFE e 1 para Contingência
42 - 4 para DANFE e 2 para Contingência
43 - 4 para DANFE e 3 para Contingência</t>
  </si>
  <si>
    <t>Codigo-Box-Saida-Impressão</t>
  </si>
  <si>
    <t>00 - Impressora sem box de Saída
05 - Saida no box-05
06 - Saida no box-06
07 - Saida no box-07
08 - Saida no box-08
09 - Saida no box-09
10 - Saida no box-10
11 - Saida no box-11
12 - Saida no box-12</t>
  </si>
  <si>
    <t>Endereço de Impressão</t>
  </si>
  <si>
    <t>Endereço da Impressora.
Exemplo.
PLBETFIA999</t>
  </si>
  <si>
    <t>Controle-Time-out</t>
  </si>
  <si>
    <t>HHMM</t>
  </si>
  <si>
    <t>Time Out formato Hora Minuto =&gt; HHMM
Exemplo:  0003 =&gt; 3 Minutos
Parametro para ativar a contingência</t>
  </si>
  <si>
    <t>Controle-Sistema-Origem</t>
  </si>
  <si>
    <t>Qualquer informação do Sistema de Origem
Exemplo: Codigo-ID-SAP,  Codigo-ID-eComex</t>
  </si>
  <si>
    <t>Identificação do Ambiente</t>
  </si>
  <si>
    <t>Identificação do ambiente: 1 - Produção / 2 - Homologação</t>
  </si>
  <si>
    <t>Controle do Banco NF-e</t>
  </si>
  <si>
    <t>Uso exclusivo da Base NF-e</t>
  </si>
  <si>
    <t>ID-Overlay-Mascara-Impressão</t>
  </si>
  <si>
    <t>Utilizar o ID gerado para o Overlay da Mascara de Impressão</t>
  </si>
  <si>
    <t>VAN</t>
  </si>
  <si>
    <t>Uso da Iveco L.A.
Numero do Pedido Iveco</t>
  </si>
  <si>
    <t>Sequencial-NF_Final</t>
  </si>
  <si>
    <t>Numero Final da NF-e a ser Inutilizado
Incluir quando necessário zeros a esquerda para compor 9 digitos</t>
  </si>
  <si>
    <t>VAN 2</t>
  </si>
  <si>
    <t>Uso da Iveco L.A.
Numero do Pedido Iveco
Alteração de tamanho do campo para 9 digitos.</t>
  </si>
  <si>
    <t>Bloco-001 - Informações da Nota Fiscal</t>
  </si>
  <si>
    <t>Informe com "001"</t>
  </si>
  <si>
    <t>Código da UF do Emitente</t>
  </si>
  <si>
    <t>Documento Fiscal. Utilizar a Tabela do IBGE de código de unidades da federação (Anexo IV - Tabela de UF, Município e País).</t>
  </si>
  <si>
    <t>Descrição da Natureza da Operação</t>
  </si>
  <si>
    <t>Informar a natureza da operação que decorres a saída ou a entrada, tais como:
Venda, Compra, Remessa (para fins de demonstração, de Industrialização ou outra).
Conforme previsto na alinea "i", inciso I, art. 19 CONVÊNIO S/Nº, de 15 de dezembro de 1970</t>
  </si>
  <si>
    <t>Indicador da Forma de Pagamento</t>
  </si>
  <si>
    <t>Campo excluído do layout a partir da versão 4.00</t>
  </si>
  <si>
    <t>Código do Modelo do Documento Fiscal</t>
  </si>
  <si>
    <t>55=NF-e emitida em substituição ao modelo 1 ou 1A
65=NFC-e, utilizada nas operações de venda no varejo (a critério da UF aceitar este modelo de documento).</t>
  </si>
  <si>
    <t>Série do Documento Fiscal</t>
  </si>
  <si>
    <t xml:space="preserve">Serie do Documento Fiscal.
Preencher com zeros na hipotese de NF-e não possuir serie 
Serie 890 a 899 de uso exclusico para emissão de NF-e avulsa pelo Contribuinte com seu certificado digital, atraves do site do Fisco (procEmi=2).
Serie 900 a 999 de uso exclusivo para emissão de NF-e emitidas no SCAN </t>
  </si>
  <si>
    <t>Número do Documento Fiscal</t>
  </si>
  <si>
    <t>Data de Emissão do Documento Fiscal</t>
  </si>
  <si>
    <t>D</t>
  </si>
  <si>
    <t>AAAA-MM-DD</t>
  </si>
  <si>
    <t>Excluido e sbstituido pelo campo 050, enviar spaces para versão 3.1</t>
  </si>
  <si>
    <t>Data de Saída ou de Entrada da Mercadoria</t>
  </si>
  <si>
    <t>Excluido e sbstituido pelo campo 051, enviar spaces para versão 3.1</t>
  </si>
  <si>
    <t>Tipo do Documento Fiscal</t>
  </si>
  <si>
    <t>0 = Entrada / 1 = Saída</t>
  </si>
  <si>
    <t>Código do Município do Ocorrência do Fato Gerador</t>
  </si>
  <si>
    <t>Informar o Municipio de ocorrência do Fato gerador do ICMS.
Utilizar a Tabela do IBGE.</t>
  </si>
  <si>
    <t>Formato de Impressão do DANFE</t>
  </si>
  <si>
    <t>1 = Retrato / 2 = Paisagem</t>
  </si>
  <si>
    <t>Tipo de Emissão da NF-e</t>
  </si>
  <si>
    <t>Finalidade de emissão da NF-e</t>
  </si>
  <si>
    <t>Processo de emissão da NF-e</t>
  </si>
  <si>
    <t>29a</t>
  </si>
  <si>
    <t>0 = Emissão NF-e com Aplicativo do Contribuinte
1 = Emissão NF-e Avulsa pelo Fisco
2 = Emissão NF-e pelo Site do Fisco com Certif. do Contribuinte
3 = Emissão NF-e com Aplicativo fornecido pelo Fisco</t>
  </si>
  <si>
    <t>Versão do processo de emissão da NF-e</t>
  </si>
  <si>
    <t>29b</t>
  </si>
  <si>
    <t>Informe a Versão do emissor de NF-e</t>
  </si>
  <si>
    <t>Hora de Saída ou da Entrada da Mercadoria/Produto</t>
  </si>
  <si>
    <t>14a</t>
  </si>
  <si>
    <t>H</t>
  </si>
  <si>
    <t>HH:MM:SS</t>
  </si>
  <si>
    <t>Digito Verificador da Chave de Acesso da NF-e</t>
  </si>
  <si>
    <t>Informar o DV da Chave de Acesso da NF-e.
O DV será cálculado com a aplicação do algoritimo módulo 11 (Base 2,9) da Chave de Acesso.</t>
  </si>
  <si>
    <t>Data e Hora da Entrada em Contingência</t>
  </si>
  <si>
    <t>29c</t>
  </si>
  <si>
    <t>AAAAMMDDTHH:MM:SS</t>
  </si>
  <si>
    <t>Alteração de formato e tamanho, versão 3.1 enviar spaces</t>
  </si>
  <si>
    <t>Justificativa da Entrada em Contingência</t>
  </si>
  <si>
    <t>29d</t>
  </si>
  <si>
    <t>Data e Hora de emissão do documento</t>
  </si>
  <si>
    <t>13</t>
  </si>
  <si>
    <t>Formato: “AAAA-MM-DDThh:mm:ssTZD” (UTC - Universal Coordinated Time)</t>
  </si>
  <si>
    <t>Data e Hora de Saida ou da Entrada da Mercadoria/Produto</t>
  </si>
  <si>
    <t>14</t>
  </si>
  <si>
    <t>Identificador de local do destino da operação</t>
  </si>
  <si>
    <t>15a</t>
  </si>
  <si>
    <t>1 =  Operação Interna
2 = Operação Interestadual
3 = Operação com Exterior</t>
  </si>
  <si>
    <t>Indica operação com consumidor final</t>
  </si>
  <si>
    <t>29.1</t>
  </si>
  <si>
    <t>0 = Normal
1 = Consumidor Final</t>
  </si>
  <si>
    <t>Indicador de presença do comprador no estabelecimento comercial no momento da operação</t>
  </si>
  <si>
    <t>29.2</t>
  </si>
  <si>
    <t>Indicador de intermediador/marketplace</t>
  </si>
  <si>
    <t>29.3</t>
  </si>
  <si>
    <t xml:space="preserve">0=Operação sem intermediador (em site ou plataforma
própria)
1=Operação em site ou plataforma de terceiros
(intermediadores/marketplace) </t>
  </si>
  <si>
    <t xml:space="preserve">Bloco-002 - Futura Implementação </t>
  </si>
  <si>
    <t>Informe com "002"</t>
  </si>
  <si>
    <t xml:space="preserve">Bloco-003 - Futura Implementação </t>
  </si>
  <si>
    <t>Informe com "003"</t>
  </si>
  <si>
    <t>O Bloco 002 e 003 foi excluido em função da Nova Versão do XML 2.00 da SEFAZ, porem os Blocos devem conter o formato e conteudo acima descrito</t>
  </si>
  <si>
    <t>Bloco-004 - Informações do Emitente</t>
  </si>
  <si>
    <t>Informe com "004"</t>
  </si>
  <si>
    <t>Número do CNPJ do Emitente</t>
  </si>
  <si>
    <t>Número do CPF do Remetente</t>
  </si>
  <si>
    <t>31a</t>
  </si>
  <si>
    <t>Razão Social ou Nome do Emitente</t>
  </si>
  <si>
    <t>Nome Fantasia</t>
  </si>
  <si>
    <t>Logradouro do Emitente</t>
  </si>
  <si>
    <t>Número</t>
  </si>
  <si>
    <t>Complemento</t>
  </si>
  <si>
    <t>Bairro</t>
  </si>
  <si>
    <t>Infomar 9999999 para operações com o exterior</t>
  </si>
  <si>
    <t>Nome do Município</t>
  </si>
  <si>
    <t>Informar "EXTERIOR" para operações com de Exportação</t>
  </si>
  <si>
    <t>Sigla da UF</t>
  </si>
  <si>
    <t>Informar "EX" para operações com de Exportação</t>
  </si>
  <si>
    <t>CEP</t>
  </si>
  <si>
    <t>Informar com ZEROS para operações com de Exportação</t>
  </si>
  <si>
    <t>Código do País</t>
  </si>
  <si>
    <t>Nome do País</t>
  </si>
  <si>
    <t>Telefone</t>
  </si>
  <si>
    <t>Informar a partir da Versão 2.00
Codigo DDD + Numero do Telefone
Nas Operações com Exterior informar:
Codigo do Pais + Codigo da Localidade + Numero do Telefone</t>
  </si>
  <si>
    <t>Inscrição Estadual</t>
  </si>
  <si>
    <t>Campo de Informação Obrigatorio nos casos de emissão própria (procEmi = 0, 2 ou 3).
A IE de ser informada apenas com algarismos para destinatarios contribuintes do ICNS, sem caracteres de formatação (ponto, barra, hífem, etc...);
O literal "ISENTO" deve ser informado apenas para contribuintes do ICMS que são isentos de inscrição no cadastro de contribuintes do ICMS e estejam emitindo.</t>
  </si>
  <si>
    <t>Inscrição Estadual do Substituto Tributário</t>
  </si>
  <si>
    <t>Informar a IE do ST da UF de destino da mercadoria, quando houver a retenção do ICMS ST para UF de Destino</t>
  </si>
  <si>
    <t>Inscrição Municipal</t>
  </si>
  <si>
    <t>Este campo somente deve ser preenchido quando houver emissão conjungada, com a prestação de serviços sujeitos ao ISSQN e fornecimento de peças sujeito ao ICMS</t>
  </si>
  <si>
    <t>CNAE Fiscal</t>
  </si>
  <si>
    <t>Este campo deve ser informado quando o campo Inscrição Municipal #048 for Informado</t>
  </si>
  <si>
    <t>Codigo de Regime Tributario</t>
  </si>
  <si>
    <t>49a</t>
  </si>
  <si>
    <t>Este campo será obrigatoriamente preenchido com:
1 - Simples Nacional
2 - Simples Nacional - excesso de sublimite de receita bruta
3 - Regime Normal</t>
  </si>
  <si>
    <t>Bloco-005 - Informações do Destinatário</t>
  </si>
  <si>
    <t>Informe com "005"</t>
  </si>
  <si>
    <t>Número do CNPJ do Destinatário</t>
  </si>
  <si>
    <r>
      <t xml:space="preserve">Informar o CNPJ do destinatário, preenchendo os zeros não significativos.
</t>
    </r>
    <r>
      <rPr>
        <b/>
        <sz val="10"/>
        <color rgb="FF0070C0"/>
        <rFont val="Arial"/>
        <family val="2"/>
      </rPr>
      <t>Nota: Campo não aceita o valor Nulo.</t>
    </r>
  </si>
  <si>
    <t>Número do CPF</t>
  </si>
  <si>
    <r>
      <t xml:space="preserve">Informar o CPF do destinatário, preenchendo os zeros não significativos.
</t>
    </r>
    <r>
      <rPr>
        <b/>
        <sz val="10"/>
        <color rgb="FF0070C0"/>
        <rFont val="Arial"/>
        <family val="2"/>
      </rPr>
      <t>Informar os zeros não significativos</t>
    </r>
  </si>
  <si>
    <t>Razão Social ou Nome do Destinatário</t>
  </si>
  <si>
    <t>Informação obrigatória para a NF-e e opcional para a NFC-e.</t>
  </si>
  <si>
    <t>Logradouro do Destinatário</t>
  </si>
  <si>
    <t xml:space="preserve">Código do Município </t>
  </si>
  <si>
    <t>Informe: 1058 - Brasil</t>
  </si>
  <si>
    <t>Informe: Brasil ou BRASIL</t>
  </si>
  <si>
    <t>Campo opcional. Informar somente os algarismos, sem os
caracteres de formatação (ponto, barra, hífen, etc.).</t>
  </si>
  <si>
    <t>Inscrição na SUFRAMA</t>
  </si>
  <si>
    <t>Obrigatorio nas operações que se beneficiam de incentivos fiscais existentes nas áreas sob controle da SUFRAMA.
A omissão da inscrição SUFRAMA impede o processamento da operação pelo Sistema de Mercado Nacional da SUFRAMA e a liberação da Declaração de Ingresso, prejudica a comprovação do ingresso /  internamento da mercadoria nas áreas sob controle da SUFRAMA.</t>
  </si>
  <si>
    <t>e-Mail do Destinatario</t>
  </si>
  <si>
    <t>79a</t>
  </si>
  <si>
    <t>Informar o e-Mail do Destinatario.
Campo pode ser utilizado para informar o e-Mail de recepção da NF-e indicado pelo destinatario.</t>
  </si>
  <si>
    <t>Identificação do destinatario no caso de comprador estrangeiro</t>
  </si>
  <si>
    <t>64a</t>
  </si>
  <si>
    <t>Informar o CNPJ ou CPF do destinatario, preenchendo os zeros não significativos. No caso de operação com exterior, ou para comprador estrangeiro informar a TAG "idEstrangeiro", com o número do passaporte ou outro documento legal para idendtificar pessoa estrangeira (este campo aceita valor Nulo)
Informar esta tag no caso de operação com o exterior, ou para comprador estrangeiro. Informar o número do passaporte ou outro documento legal para identificar pessoa estrangeira (campo aceita valor nulo).</t>
  </si>
  <si>
    <t>Indicador da IE do destinatario</t>
  </si>
  <si>
    <t>77a</t>
  </si>
  <si>
    <t xml:space="preserve">1 = Contribuinte ICMS (informar a IE do destinatario)
2 = Contribuinte isento de inscrição no cadastro de contribuintes de ICMS
9 = Não contribuinte, que pode ou não possuir Inscrição Estadual no cadastro de Contribuinte de ICMS
Nota 1: Nocaso de NFC-e informar indIEDest=9 e não informar a TAG IE do destinatario
Nota 2 : No caso de operação com exterior informar indIEDest=9  e não informar a TAG IE do destinatario
Nota 3 : No caso de contribuinte Isento de Inscrição (indIEDest=2), não informar a tag IE do destinatario
</t>
  </si>
  <si>
    <t>Bloco-006 - Informações do Local de Retirada</t>
  </si>
  <si>
    <t>Informe com "006"</t>
  </si>
  <si>
    <t>CNPJ do Local de Retirada</t>
  </si>
  <si>
    <t>Informe o CNPJ ou zeros quando não significativo</t>
  </si>
  <si>
    <t>Logradouro</t>
  </si>
  <si>
    <t>Razão Social</t>
  </si>
  <si>
    <t>Razão Social do Local de Retirada (Não existente no manual da SEFAZ)</t>
  </si>
  <si>
    <t>Código do Cliente / Fornecedor</t>
  </si>
  <si>
    <t>Codigo CPF</t>
  </si>
  <si>
    <t>81a</t>
  </si>
  <si>
    <t>Informe o CPF; caso não exista informe zeros</t>
  </si>
  <si>
    <t>88a</t>
  </si>
  <si>
    <t>Informar os zeros não significativos.</t>
  </si>
  <si>
    <t>88b</t>
  </si>
  <si>
    <t>Utilizar a Tabela do BACEN (Anexo IX - Tabela de UF, Município e País).</t>
  </si>
  <si>
    <t>88c</t>
  </si>
  <si>
    <t>88d</t>
  </si>
  <si>
    <t>Preencher com o Código DDD + número do telefone. Nas operações com exterior é permitido informar o código do país + código da localidade + número do telefone (v2.0)</t>
  </si>
  <si>
    <t>e-Mail do Expedidor</t>
  </si>
  <si>
    <t>88e</t>
  </si>
  <si>
    <t>Inscrição estadual do estabelecimento Expedidor</t>
  </si>
  <si>
    <t>88f</t>
  </si>
  <si>
    <t>Informar somente os algarismos, sem os caracteres de formatação (ponto, barra, hífen, etc.).</t>
  </si>
  <si>
    <t>Bloco-007 - Informações do Local de Entrega</t>
  </si>
  <si>
    <t>Informe com "007"</t>
  </si>
  <si>
    <t>CNPJ do Local de Entrega</t>
  </si>
  <si>
    <t xml:space="preserve">Logradouro </t>
  </si>
  <si>
    <t>Razão Social do Local de Entrega (Não existente no manual da SEFAZ)</t>
  </si>
  <si>
    <t>90a</t>
  </si>
  <si>
    <t>97a</t>
  </si>
  <si>
    <t>97b</t>
  </si>
  <si>
    <t>97c</t>
  </si>
  <si>
    <t>97d</t>
  </si>
  <si>
    <t>e-Mail do Recebedor</t>
  </si>
  <si>
    <t>97e</t>
  </si>
  <si>
    <t>Inscrição estadual do estabelecimento Recebedor</t>
  </si>
  <si>
    <t>97f</t>
  </si>
  <si>
    <t>Bloco-008 - Continuação Bloco 005 Dados do Destinatario</t>
  </si>
  <si>
    <t>Informe com "008"</t>
  </si>
  <si>
    <t>Inscrição Municipal do Tomador do Serviço</t>
  </si>
  <si>
    <t>79.1</t>
  </si>
  <si>
    <t>Campo opcional, pode ser informado na NFe conjugada, com itens de produtos sujeitos ao ICMS e itens de serviços sujeitos ao ISSQN (campo referente ao bloco 005)</t>
  </si>
  <si>
    <t>Bloco-009 - Autorização para Obter XML</t>
  </si>
  <si>
    <t>Informe com "009"</t>
  </si>
  <si>
    <t>CNPJ Autorizado</t>
  </si>
  <si>
    <t>97a.2</t>
  </si>
  <si>
    <t>Infomar o CNPJ ou CPF. Preencher os zeros não significativos</t>
  </si>
  <si>
    <t>CPF Autorizado</t>
  </si>
  <si>
    <t>97a.3</t>
  </si>
  <si>
    <t>Bloco 010 a 019 Reservado para futuras implementações</t>
  </si>
  <si>
    <t>Bloco-020 - Informações Dados dos Produtos e Serviços</t>
  </si>
  <si>
    <t>Informe com "020"</t>
  </si>
  <si>
    <t>Sequencial do Item na NF</t>
  </si>
  <si>
    <t>Faixa de 001 a 990</t>
  </si>
  <si>
    <t>Código do Produto ou Serviço</t>
  </si>
  <si>
    <t>cEAN</t>
  </si>
  <si>
    <t>Preencher com o código GTIN-8, GTIN-12, GTIN-13 ou GTIN-14 (antigos códigos EAN, UPC e DUN-14).
Para produtos que não possuem código de barras com GTIN, deve ser informado o literal “SEM GTIN”;
Nos demais casos, preencher com GTIN contido na embalagem com código de barras</t>
  </si>
  <si>
    <t>Descrição do Produto ou Serviço</t>
  </si>
  <si>
    <t>Utilizar a Descrição Principal + Complementar</t>
  </si>
  <si>
    <t>Código NCM</t>
  </si>
  <si>
    <t>Código NCM (8 posições), informar o gênero (posição do capitulo do NCM) quando a operação não for de comercio exterior (importação / exportação) ou o produto não seja tributado pelo IPI
Em caso de item de serviço ou item que não tenha produto (Ex. transferencia de crédito, crédito não ativo imobilizado, etc...), informar o código 00 (zeros).
V2.0 - Alteração Nota Técnica 2010/01</t>
  </si>
  <si>
    <t>Código EX TIPI</t>
  </si>
  <si>
    <t>Gênero do Produto ou Serviço</t>
  </si>
  <si>
    <t>Campo Extinto, enviar Spaces</t>
  </si>
  <si>
    <t>Código Fiscal de Operações e Prestações (CFOP)</t>
  </si>
  <si>
    <t>Unidade Tributável</t>
  </si>
  <si>
    <t>Unidade Comercial</t>
  </si>
  <si>
    <t>Quantidade Tributável</t>
  </si>
  <si>
    <t>0-4</t>
  </si>
  <si>
    <t>Informar a quantidade de Tributação do produto.
Alteração do tamnho do campo de 12 para 15
A parte decimal sera de 4 decimais</t>
  </si>
  <si>
    <t>Valor Unitário de Tributação</t>
  </si>
  <si>
    <t>113a</t>
  </si>
  <si>
    <t>0-10</t>
  </si>
  <si>
    <t>Informar o Vaor Unitário de tributação do produto.
Alteração do tamnho do campo de 16 para 21
A parte decimal sera de 10 decimais</t>
  </si>
  <si>
    <t>Quantidade Comercial</t>
  </si>
  <si>
    <t>Informar a quantidade comercial do produto.
Alteração do tamnho do campo de 12 para 15
A parte decimal sera de 4 decimais</t>
  </si>
  <si>
    <t>Valor Unitário de Comercialização</t>
  </si>
  <si>
    <t>109a</t>
  </si>
  <si>
    <t>Informar o Vaor Unitário de comercialização do produto.
Alteração do tamnho do campo de 16 para 21
A parte decimal sera de 10 decimais</t>
  </si>
  <si>
    <t>Valor Bruto do Produto ou Serviço</t>
  </si>
  <si>
    <t>Valor Total do Frete</t>
  </si>
  <si>
    <t>Valor Total do Seguro</t>
  </si>
  <si>
    <t>Valor do Desconto</t>
  </si>
  <si>
    <t>Outras Despesas Acessorias</t>
  </si>
  <si>
    <t>116a</t>
  </si>
  <si>
    <t>Indica se o Valor do Item entra no Valor Total da NF-e</t>
  </si>
  <si>
    <t>116b</t>
  </si>
  <si>
    <t>Preencher com:
1 - Se o valor do item compõe o valor Total da NF-e
2 - Se o valor do item não compõe o valor Total da NF-e
Veja tag #110 Valor Bruto do Produto ou Serviço</t>
  </si>
  <si>
    <t>Numero do Pedido de Compra</t>
  </si>
  <si>
    <t>128m</t>
  </si>
  <si>
    <t>Preencher com:
Numero do Pedido de Compra</t>
  </si>
  <si>
    <t>Numero do Item do Pedido de Compra</t>
  </si>
  <si>
    <t>128n</t>
  </si>
  <si>
    <t>Preencher com:
Numero do Item do Pedido de Compra</t>
  </si>
  <si>
    <t>cEANTrib</t>
  </si>
  <si>
    <t>111</t>
  </si>
  <si>
    <t>Preencher com o código GTIN-8, GTIN-12, GTIN-13 ou GTIN-14 (antigos códigos EAN, UPC e DUN-14) da unidade tributável do produto.
O GTIN Tributário deve corresponder ao GTIN da menor unidade comercializada no varejo identificável por código GTIN.
Para produtos que não possuem código de barras com GTIN, deve ser informado o literal "SEM GTIN”;
Nos demais casos, preencher com GTIN</t>
  </si>
  <si>
    <t>Valor aproximado total de tributos federais, estaduais e municipais</t>
  </si>
  <si>
    <t>163a</t>
  </si>
  <si>
    <t>Codificação NVE - Nomeclatura de Valor Aduaneiro e Estatistica</t>
  </si>
  <si>
    <t>104a</t>
  </si>
  <si>
    <t>Codificação que detalha alguns NCM. O tamanho de cada codificação é de 6 posições, podendo ter 8 repetição por produto.
Formato: duas letras maiusculas e 4 algarismos.
Se a mercadoria se enquadrar em mais de uma codificação, informar até 8 codificações principais.
Vide: Anexo X - Identificador NVE.</t>
  </si>
  <si>
    <t>Código CEST</t>
  </si>
  <si>
    <t xml:space="preserve">104d </t>
  </si>
  <si>
    <t>Código Especificador da Substituição Tributária – CEST, que identifica a mercadoria sujeita aos
regimes de substituição tributária e de antecipação do recolhimento do imposto.</t>
  </si>
  <si>
    <t>Indicador de Escala Relevante</t>
  </si>
  <si>
    <t>104e</t>
  </si>
  <si>
    <t>Indicador de Produção em escala relevante, conforme Cláusula 23 do Convenio ICMS 52/2017: 
S - Produzido em Escala Relevante; 
N – Produzido em Escala NÃO Relevante.</t>
  </si>
  <si>
    <t>CNPJ do Fabricante da Mercadoria</t>
  </si>
  <si>
    <t>104f</t>
  </si>
  <si>
    <t>CNPJ do Fabricante da Mercadoria, obrigatório para produto em escala NÃO relevante.</t>
  </si>
  <si>
    <t>Código de Benefício Fiscal na UF aplicado ao item</t>
  </si>
  <si>
    <t>104g</t>
  </si>
  <si>
    <t>Código de Benefício Fiscal utilizado pela UF, aplicado ao item. 
Obs.: Deve ser utilizado o mesmo código adotado na EFD e outras declarações, nas UF que o exigem.</t>
  </si>
  <si>
    <t>Código de barras diferente do padrão GTIN</t>
  </si>
  <si>
    <t>103a</t>
  </si>
  <si>
    <t>Preencher com o Código de Barras próprio ou de terceiros que seja diferente do padrão GTIN</t>
  </si>
  <si>
    <t>Código de Barras da unidade tributável que seja diferente do padrão GTIN</t>
  </si>
  <si>
    <t>I12a</t>
  </si>
  <si>
    <t>Preencher com o Código de Barras próprio ou de terceiros, que seja diferente do padrão GTIN, correspondente aquele da menor unidade comercializável identificado por Código de Barras</t>
  </si>
  <si>
    <t>Bloco 021 - Informações sobre DI - Documento de Importação</t>
  </si>
  <si>
    <t>Informe com "021"</t>
  </si>
  <si>
    <r>
      <t xml:space="preserve">Número do documento de importação (DI/DSI/DA) - </t>
    </r>
    <r>
      <rPr>
        <b/>
        <sz val="10"/>
        <color rgb="FFFF0000"/>
        <rFont val="Arial"/>
        <family val="2"/>
      </rPr>
      <t>(Desativado na NT 2020.005)</t>
    </r>
  </si>
  <si>
    <t>Data do Registro da DI/DSI/DA</t>
  </si>
  <si>
    <t>Local de Desembaraço</t>
  </si>
  <si>
    <t>Sigla da UF onde ocorreu o desembaraço aduaneiro</t>
  </si>
  <si>
    <t>Data do desembaraço aduaneiro</t>
  </si>
  <si>
    <t>Código do Exportador</t>
  </si>
  <si>
    <t>Numero de Controle da FCI - Ficha de Conteudo de Importação</t>
  </si>
  <si>
    <t>128p</t>
  </si>
  <si>
    <t>Via de transporte internacional informada na Declaração de Importação (DI)</t>
  </si>
  <si>
    <t>122a</t>
  </si>
  <si>
    <t>1=Marítima;
2=Fluvial;
3=Lacustre;
4=Aérea;
5=Postal
6=Ferroviária;
7=Rodoviária;
8=Conduto / Rede Transmissão;
9=Meios Próprios;
10=Entrada / Saída ficta.
11=Courier
12=Em mãos
13=Por reboque</t>
  </si>
  <si>
    <t>Valor da AFRM - Adicional ao Frete para Renovação da Marinha Mercante</t>
  </si>
  <si>
    <t>122b</t>
  </si>
  <si>
    <t>A tag deve ser informada no caso da via de transporte marítima.</t>
  </si>
  <si>
    <t>Forma de Importação quanto a intermediação</t>
  </si>
  <si>
    <t>122c</t>
  </si>
  <si>
    <t>1=Importação por conta própria;
2=Importação por conta e ordem;
3=Importação por encomenda;</t>
  </si>
  <si>
    <t>CNPJ do adquirente ou do encomendante</t>
  </si>
  <si>
    <t>122d</t>
  </si>
  <si>
    <t>Obrigatória a informação no caso de importação por conta e ordem ou por encomenda. Informar os zeros não significativos</t>
  </si>
  <si>
    <t>Sigla da UF do adquirente ou do encomendante</t>
  </si>
  <si>
    <t>122e</t>
  </si>
  <si>
    <t>Obrigatória a informação no caso de importação por conta e ordem ou por encomenda. Não aceita o valor "EX".</t>
  </si>
  <si>
    <t>NOVO - Número do documento de importação (DI/DSI/DA)</t>
  </si>
  <si>
    <t>118</t>
  </si>
  <si>
    <t>Bloco 022 - Informações sobre Adições do Documento de Importação</t>
  </si>
  <si>
    <t>Informe com "022"</t>
  </si>
  <si>
    <t>Número do documento de importação (DI/DSI/DA)</t>
  </si>
  <si>
    <t>Informe o mesmo conteudo referenciado no Bloco 021</t>
  </si>
  <si>
    <t>Número da Adição</t>
  </si>
  <si>
    <r>
      <t xml:space="preserve">Número Seqüencial do Item dentro da Adição </t>
    </r>
    <r>
      <rPr>
        <b/>
        <sz val="10"/>
        <color rgb="FFFF0000"/>
        <rFont val="Arial"/>
        <family val="2"/>
      </rPr>
      <t>(Desativado na NT 2020.005)</t>
    </r>
  </si>
  <si>
    <t>Código do Fabricante Estrangeiro</t>
  </si>
  <si>
    <t>Valor do Desconto do Item da DI -  Adição</t>
  </si>
  <si>
    <t>Numero do ato concessionario de Drawback</t>
  </si>
  <si>
    <t>128.1</t>
  </si>
  <si>
    <t>NOVO - Número Seqüencial do Item dentro da Adição</t>
  </si>
  <si>
    <t>Bloco 023 - Informações sobre Veiculos Novos</t>
  </si>
  <si>
    <t>Informe com "023"</t>
  </si>
  <si>
    <t>Tipo da Operação</t>
  </si>
  <si>
    <t>1 - Venda Concessionaria
2 - Faturamento Direto
3 - Venda Direta
0 - Outros</t>
  </si>
  <si>
    <t>Chassi do Veiculo</t>
  </si>
  <si>
    <t>Cor</t>
  </si>
  <si>
    <t>Codigo de cada Montadora</t>
  </si>
  <si>
    <t>Descrição da Cor</t>
  </si>
  <si>
    <t>Potencia Motor</t>
  </si>
  <si>
    <t>Potência Maxima do Motor em cavalo vapor (CV) (Potência do Veiculo)</t>
  </si>
  <si>
    <t>CM3 (Potencia)</t>
  </si>
  <si>
    <t>Capacidade volumetrica do motor em centimetros cúbicos (CC) (Cilindadas)</t>
  </si>
  <si>
    <t>Peso Liquido</t>
  </si>
  <si>
    <t>Peso Bruto</t>
  </si>
  <si>
    <t>Serial (Serie)</t>
  </si>
  <si>
    <t>Tipo de Combustivel</t>
  </si>
  <si>
    <t>Utilizar a tabela do RENAVAM</t>
  </si>
  <si>
    <t>Numero Motor</t>
  </si>
  <si>
    <t>CMT - Capacidade Máxima de Tração em Toneladas</t>
  </si>
  <si>
    <t>CMT - Capacidade Máxima de Tração - em Toneladas
4 casas decimais</t>
  </si>
  <si>
    <t>Distancia entre eixos</t>
  </si>
  <si>
    <t xml:space="preserve">Informar em Metros
</t>
  </si>
  <si>
    <t>RENAVAM</t>
  </si>
  <si>
    <t>Não informar na TAG de Exportação
Preencher com spaces a partir do XML 2.00</t>
  </si>
  <si>
    <t>Ano Modelo de Fabricação</t>
  </si>
  <si>
    <t>Ano de Fabricação</t>
  </si>
  <si>
    <t>Tipo de Pintura</t>
  </si>
  <si>
    <t>Tipo de Veiculo</t>
  </si>
  <si>
    <t>Utilizar Tabela RENAVAM</t>
  </si>
  <si>
    <t>Especie de Veiculo</t>
  </si>
  <si>
    <t>Condição do VIN</t>
  </si>
  <si>
    <t>VIN (Vehicle Identification Number)
Informe com:
N - Normal
R - Remarcado</t>
  </si>
  <si>
    <t>Condição do Veiculo</t>
  </si>
  <si>
    <t>1 - Acabado
2 - Inacabado
3 - Semi-acabado</t>
  </si>
  <si>
    <t>Codigo Marca Modelo</t>
  </si>
  <si>
    <t>Codigo da Cor</t>
  </si>
  <si>
    <t>151a</t>
  </si>
  <si>
    <t>Regra de Pré-Cadastro do DENATRAMutilizar:
01 Amarelo
02 Azul
03 Bege
04 Branca
05 Cinza
06 Dourada
07 Grena
08 Laranja
09 Marrom
10 Prata
11 Preta
12 Rosa
13 Roxo
14 Verde
15 Vermelho
16 Fantasia</t>
  </si>
  <si>
    <t>Capacidade Máxima de Lotação</t>
  </si>
  <si>
    <t>151b</t>
  </si>
  <si>
    <t>Informe a Quantidade Máxima de Passageiros Sentados, inclusive o Motorista</t>
  </si>
  <si>
    <t>Restrição</t>
  </si>
  <si>
    <t>151c</t>
  </si>
  <si>
    <t>Informe com:
0 - Não há
1 - Alienação Fiduciária
2 - Arrendamento Mercantil
3 - Reserva de Dominio
4 - Penhor de Veiculo
9 - Outras</t>
  </si>
  <si>
    <t>Desc-Combustivel</t>
  </si>
  <si>
    <t>Uso especifico para Fiasa.
Deve informar o tipo de combustivel, informação a ser impressa na DANFE
Exemplo:
GASOLINA
ALCOOL
GAS ou GPL
DIESEL</t>
  </si>
  <si>
    <t>Bloco 024 - Informações sobre Medicamentos</t>
  </si>
  <si>
    <t>Informe com "024"</t>
  </si>
  <si>
    <t>Numero Lote do Medicamento</t>
  </si>
  <si>
    <t>Descontinuado a partir da versão 4.00 para utilização do grupo de rastreabilidade do produto - bloco 043</t>
  </si>
  <si>
    <t>Quantidade de Produto no Lote do Medicamento</t>
  </si>
  <si>
    <t>Data de Fabricação</t>
  </si>
  <si>
    <t>Data de Validade</t>
  </si>
  <si>
    <t>Preço Maximo Consumidor</t>
  </si>
  <si>
    <t>Código de Produto da ANVISA</t>
  </si>
  <si>
    <t>152a</t>
  </si>
  <si>
    <t>Utilizar o número do registro ANVISA</t>
  </si>
  <si>
    <t>Bloco 025 - Informações sobre Combustiveis</t>
  </si>
  <si>
    <t>Informe com "025"</t>
  </si>
  <si>
    <t>Codigo Produto da ANP</t>
  </si>
  <si>
    <t>162b</t>
  </si>
  <si>
    <t>Utilizar a codificação de Produtos do Sistema de Informações de Movimentação de produtos SIMP
Site: http://www.amp.gov.br/simp/ind ex.htm
Informar 999999999 se o produto não possuir código de produto ANP</t>
  </si>
  <si>
    <t>Codigo Autorização / Registro do CODIF</t>
  </si>
  <si>
    <t>162c</t>
  </si>
  <si>
    <t>Informar apenas quando a UF utilizar o CODIF - Sistema de Controle do Diferimento do Imposto nas Operações com AEAC - Alcool Etilico Anidro Combustível</t>
  </si>
  <si>
    <t>Quantidade Combustivel Faturada</t>
  </si>
  <si>
    <t>162d</t>
  </si>
  <si>
    <t>Informar quando a quantidade faturada tiver sido ajustada para uma temperatura diferente da ambiente.</t>
  </si>
  <si>
    <t>Sigla da UF de Consumo</t>
  </si>
  <si>
    <t>162e</t>
  </si>
  <si>
    <t>Base de Calculo da CIDE</t>
  </si>
  <si>
    <t>162g</t>
  </si>
  <si>
    <t>Informar BC da Cide em quantidade</t>
  </si>
  <si>
    <t>Valor da Aliquota da CIDE</t>
  </si>
  <si>
    <t>162h</t>
  </si>
  <si>
    <t>Informar o valor da aliquota em reais da CIDE</t>
  </si>
  <si>
    <t>Valor da CIDE</t>
  </si>
  <si>
    <t>162i</t>
  </si>
  <si>
    <t>Informar o valor da CIDE</t>
  </si>
  <si>
    <t>Percentual de Gás Natural para o produto GLP (cProdANP=210203001)</t>
  </si>
  <si>
    <t>162b1</t>
  </si>
  <si>
    <t>4</t>
  </si>
  <si>
    <t>Descontinuado a partir da versão 4.00</t>
  </si>
  <si>
    <t>Descrição do produto conforme ANP</t>
  </si>
  <si>
    <t>Utilizar a descrição de produtos do Sistema de Informações de Movimentação de Produtos - SIMP (http://www.anp.gov.br/simp/).</t>
  </si>
  <si>
    <t>Percentual do GLP derivado do petróleo no produto GLP (cProdANP=210203001)</t>
  </si>
  <si>
    <t>162b2</t>
  </si>
  <si>
    <t>Informar em número decimal o percentual do GLP derivado de petróleo no produto GLP. Valores de 0 a 1.</t>
  </si>
  <si>
    <t>Percentual de Gás Natural Nacional – GLGNn para o produto GLP (cProdANP=210203001)</t>
  </si>
  <si>
    <t>162b3</t>
  </si>
  <si>
    <t>Informar em número decimal o percentual do Gás Natural Nacional – GLGNn para o produto GLP. Valores de 0 a 1.</t>
  </si>
  <si>
    <t>Percentual de Gás Natural Importado – GLGNi para o produto GLP (cProdANP=210203001)</t>
  </si>
  <si>
    <t>162b4</t>
  </si>
  <si>
    <t>Informar em número decimal o percentual do Gás Natural Importado – GLGNi para o produto GLP. Valores de 0 a 1.</t>
  </si>
  <si>
    <t>Valor de partida (cProdANP=210203001)</t>
  </si>
  <si>
    <t>162b5</t>
  </si>
  <si>
    <t>2</t>
  </si>
  <si>
    <t>Deve ser informado neste campo o valor por quilograma sem ICMS.</t>
  </si>
  <si>
    <t>Código de autorização / registro do CODIF</t>
  </si>
  <si>
    <t>Informar apenas quando a UF utilizar o CODIF (Sistema de Controle do Diferimento do Imposto nas Operações com AEAC - Álcool Etílico Anidro Combustível).</t>
  </si>
  <si>
    <t>Bloco 026 ICMS Normal - CST = 00, 10, 20, 30, 40, 41, 50, 51, 60, 70 e 90
Bloco 036 ICMS Particionado com CST = 10 e 90
Bloco 037 ICMS ST com CST = 41
Bloco 038 ICMS  Simples Nacional com CSOSN = 101, 102, 103, 201, 202, 203, 300, 400, 500 e 900</t>
  </si>
  <si>
    <t>Bloco 026 - Informações Tributos ICMS Normal CST = 00, 10, 20, 30, 40, 41, 50, 51, 60, 70 e 90</t>
  </si>
  <si>
    <t>Informe com "026"</t>
  </si>
  <si>
    <t>Origem da Mercadoria</t>
  </si>
  <si>
    <t>166
173
186
194
203
206
214
219
233</t>
  </si>
  <si>
    <t>0 = Nacional
1 = Importação Direta
2 = Importado Aquisição Mercado Interno</t>
  </si>
  <si>
    <t>Modalidade de determinação da Base Calculo do ICMS</t>
  </si>
  <si>
    <t>168
175
188
208
221
235</t>
  </si>
  <si>
    <t>0 - Margem Valor Agregado
1 - Pauta (Valor)
2 - Preço Tabela Max. (Valor)
3 - Valor da Operação</t>
  </si>
  <si>
    <t>Modalidade de determinação da Base Calculo do ICMS ST</t>
  </si>
  <si>
    <t>179
196
226
240</t>
  </si>
  <si>
    <t>0 = Preço Tabelado
1 = Lista Negativa (Valor)
2 = Lista Positiva (Valor)
3 = Lista Neutra (Valor)
4 = Margem Valor Agregado (%)
5 = Pauta (Valor)
6=Valor da operação</t>
  </si>
  <si>
    <t>CST - Tributação do ICMS</t>
  </si>
  <si>
    <r>
      <t>167
174
187
195
204
207
215
220
234</t>
    </r>
    <r>
      <rPr>
        <b/>
        <sz val="10"/>
        <color rgb="FFFF0000"/>
        <rFont val="Arial"/>
        <family val="2"/>
      </rPr>
      <t/>
    </r>
  </si>
  <si>
    <t>00 = Tributada Integralmente
10 = Tributada e com Substituição tributaria
20 = Com redução de base de cálculo
30 = Isenta ou não tributada e com cobrança do ICMS por substituição tributaria
40 = Isenta
41 = Não Tributada
50 = Suspensão
51 = Diferimento a exigência do preenchimento das informações do ICMS diferido fica a criterio de cada UF
60 = ICMS cobrado anteriormente por susbstituição
70 = Com redução de base de cálculo e cobrança do ICMS por substituição tributaria
90 = Outros</t>
  </si>
  <si>
    <t>Alíquota do Imposto</t>
  </si>
  <si>
    <t>170
177
191
211
224
238</t>
  </si>
  <si>
    <t>2-4</t>
  </si>
  <si>
    <t>Alíquota do ICMS sem o FCP. Quando for o caso, informar a alíquota do FCP no campo pFCP</t>
  </si>
  <si>
    <t>Alíquota do Imposto  do ICMS ST</t>
  </si>
  <si>
    <t>183
200
230
244</t>
  </si>
  <si>
    <t>Alíquota do ICMS ST sem o FCP. Quando for o caso, informar a alíquota do FCP no campo pFCP</t>
  </si>
  <si>
    <t>Percentual da margem de valor adicionado do ICMS ST</t>
  </si>
  <si>
    <r>
      <t>180
197
227
241</t>
    </r>
    <r>
      <rPr>
        <b/>
        <sz val="10"/>
        <color rgb="FFFF0000"/>
        <rFont val="Arial"/>
        <family val="2"/>
      </rPr>
      <t/>
    </r>
  </si>
  <si>
    <t>Percentual da Redução de Base Calculo</t>
  </si>
  <si>
    <t>189
209
222
237</t>
  </si>
  <si>
    <t>Percentual da Redução de Base Calculo do ICMS ST</t>
  </si>
  <si>
    <t>181
198
228
242</t>
  </si>
  <si>
    <t>Valor da Base Calculo do ICMS</t>
  </si>
  <si>
    <t>169
176
190
210
223
236</t>
  </si>
  <si>
    <t>Valor da BC do ICMS ST cobrado anteriormente por ST</t>
  </si>
  <si>
    <t>Valor da Base Calculo do ICMS ST</t>
  </si>
  <si>
    <r>
      <t>182
199
229
243</t>
    </r>
    <r>
      <rPr>
        <b/>
        <sz val="10"/>
        <color rgb="FFFF0000"/>
        <rFont val="Arial"/>
        <family val="2"/>
      </rPr>
      <t/>
    </r>
  </si>
  <si>
    <t>Valor Total do ICMS</t>
  </si>
  <si>
    <t>171
178
192
212
225
239</t>
  </si>
  <si>
    <t>Valor Total do ICMS ST</t>
  </si>
  <si>
    <t>184
201
231
245</t>
  </si>
  <si>
    <t>Motivo da Desoneração do ICMS</t>
  </si>
  <si>
    <t xml:space="preserve">
192.3
201.3
204.02
231.3
245.3</t>
  </si>
  <si>
    <t>Este campo deve ser informado se o campo Valor do ICMS Desonerado estiver preenchido.
Informe um dos valores abaixo:
1 - Táxi
3 - Uso na Agropecuária
4 - Frotista/Locadora
5 - Diplomatico/Consular
6 - Utilitários e Motocicletas da Amazonia Ocidental e Areas de Livre Comercio (Resolução 714/88 e 790/94 CONTTRAN e suas alterações
7 - SUFRAMA
8 - Venda a Orgao Publico
9 - Outros
A partir da versão 3.10 o campo passa a ter 2 posições sendo substituido pelo campo 241, enviar spaces para 3.10</t>
  </si>
  <si>
    <t>Valor do BC do ICMS ST retido
na UF remetente</t>
  </si>
  <si>
    <t xml:space="preserve">Valor da BC do ICMS ST cobrado anteriormente por ST
Informar valor da BC do ICMS ST retido na UF remetente </t>
  </si>
  <si>
    <t>Valor do ICMS ST retido
na UF remetente</t>
  </si>
  <si>
    <t>Valor do ICMS ST Retido
Informar o valor do ICMS ST retido na UF remetente</t>
  </si>
  <si>
    <t>Valor do ICMS Desonerado</t>
  </si>
  <si>
    <t>192.2
201.2
204.01
231.2
245.2</t>
  </si>
  <si>
    <t>Informar valor quando o motivo de desoneração existir</t>
  </si>
  <si>
    <t>Valor do ICMS da Operação</t>
  </si>
  <si>
    <t>211.01</t>
  </si>
  <si>
    <t>Valor como se não tivesse o diferimento</t>
  </si>
  <si>
    <t>Percentual do Diferimento</t>
  </si>
  <si>
    <t>211.02</t>
  </si>
  <si>
    <t xml:space="preserve">No caso de diferimento total, informar o percentual de diferimento "100" </t>
  </si>
  <si>
    <t>Valor do ICMS Diferido</t>
  </si>
  <si>
    <t>211.03</t>
  </si>
  <si>
    <t>EXCLUIDO E MANTEMOS O CAMPO 232</t>
  </si>
  <si>
    <t>EXCLUIDO E MANTEMOS O CAMPO 233</t>
  </si>
  <si>
    <t>EXCLUIDO E MANTEMOS O CAMPO 251</t>
  </si>
  <si>
    <t>Alíquota suportada pelo Consumidor Final</t>
  </si>
  <si>
    <t>216.1</t>
  </si>
  <si>
    <t>Deve ser informada a alíquota do cálculo do ICMS-ST, já incluso o FCP caso incida sobre a mercadoria. Exemplo: alíquota da mercadoria na venda ao consumidor final = 18% e 2% de FCP. A alíquota a ser informada no campo pST deve ser 20%.</t>
  </si>
  <si>
    <t>Valor da Base de Cálculo do FCP</t>
  </si>
  <si>
    <t>239.w</t>
  </si>
  <si>
    <t>Informar o valor da Base de Cálculo do FCP</t>
  </si>
  <si>
    <t>Percentual do Fundo de Combate à Pobreza (FCP)</t>
  </si>
  <si>
    <t>239.x</t>
  </si>
  <si>
    <t>Percentual relativo ao Fundo de Combate à Pobreza (FCP). Nota: Percentual máximo de 2%, conforme a legislação.</t>
  </si>
  <si>
    <t>Valor do Fundo de Combate à Pobreza (FCP)</t>
  </si>
  <si>
    <t>239.y</t>
  </si>
  <si>
    <t>Valor do ICMS relativo ao Fundo de Combate à Pobreza (FCP).</t>
  </si>
  <si>
    <t>Valor da Base de Cálculo do FCP retido por Substituição Tributária</t>
  </si>
  <si>
    <t>231.w</t>
  </si>
  <si>
    <t>Informar o valor da Base de Cálculo do FCP retido por Substituição Tributária</t>
  </si>
  <si>
    <t>Percentual do FCP retido por Substituição Tributária</t>
  </si>
  <si>
    <t>231.x</t>
  </si>
  <si>
    <t>Percentual relativo ao Fundo de Combate à Pobreza (FCP) retido por substituição tributária. Nota: Percentual máximo de 2%, conforme a legislação.</t>
  </si>
  <si>
    <t>Valor do FCP retido por Substituição Tributária</t>
  </si>
  <si>
    <t>231.y</t>
  </si>
  <si>
    <t>Valor do ICMS relativo ao Fundo de Combate à Pobreza (FCP) retido por substituição tributária.</t>
  </si>
  <si>
    <t>Valor da Base de Cálculo do FCP retido anteriormente por ST (CST 60)</t>
  </si>
  <si>
    <t>217.w</t>
  </si>
  <si>
    <t>Informar o valor da Base de Cálculo do FCP retido anteriormente por ST</t>
  </si>
  <si>
    <t>Percentual do FCP retido anteriormente por Substituição Tributária (CST 60)</t>
  </si>
  <si>
    <t>217.x</t>
  </si>
  <si>
    <t>Percentual relativo ao Fundo de Combate à Pobreza (FCP) retido por substituição tributária.</t>
  </si>
  <si>
    <t>Valor do FCP retido por Substituição Tributária (CST 60)</t>
  </si>
  <si>
    <t>217.y</t>
  </si>
  <si>
    <t>Percentual de redução da base de cálculo efetiva (CST 60)</t>
  </si>
  <si>
    <t>217.2</t>
  </si>
  <si>
    <t>Percentual de redução, caso estivesse submetida ao regime comum de tributação, para obtenção da base de cálculo efetiva (vBCEfet). Obs.: opcional a critério da UF.</t>
  </si>
  <si>
    <t>Valor da base de cálculo efetiva (CST 60)</t>
  </si>
  <si>
    <t>217.3</t>
  </si>
  <si>
    <t>Valor da base de cálculo que seria atribuída à operação própria do contribuinte substituído, caso estivesse submetida ao regime comum de tributação, obtida pelo produto do Vprod por (1- pRedBCEfet). Obs.: opcional a critério da UF.</t>
  </si>
  <si>
    <t>Alíquota do ICMS efetiva (CST 60)</t>
  </si>
  <si>
    <t>217.4</t>
  </si>
  <si>
    <t>Alíquota do ICMS na operação a consumidor final, caso estivesse submetida ao regime comum de tributação. Obs.: opcional a critério da UF.</t>
  </si>
  <si>
    <t>Valor do ICMS efetivo (CST 60)</t>
  </si>
  <si>
    <t>217.5</t>
  </si>
  <si>
    <t>Obtido pelo produto do valor do campo pICMSEfet pelo valor do campo vBCEfet, caso estivesse submetida ao regime comum de tributação. Obs.: opcional a critério da UF.</t>
  </si>
  <si>
    <t xml:space="preserve">Valor do ICMS- ST desonerado </t>
  </si>
  <si>
    <t>N33a</t>
  </si>
  <si>
    <t>Informar apenas nos motivos de desoneração documentados abaixo</t>
  </si>
  <si>
    <t>Motivo da desoneração do ICMS- ST</t>
  </si>
  <si>
    <t>N33b</t>
  </si>
  <si>
    <t>Campo será preenchido quando o campo anterior estiver preenchido. Informar o motivo da desoneração:
3=Uso na agropecuária
9=Outros
12=Órgão de fomento e desenvolvimento agropecuário</t>
  </si>
  <si>
    <t>Percentual do diferimento do ICMS relativo ao Fundo de Combate à Pobreza (FCP)</t>
  </si>
  <si>
    <t xml:space="preserve">N17d </t>
  </si>
  <si>
    <t>Percentual do diferimento do ICMS relativo ao Fundo de Combate à Pobreza (FCP). No caso de diferimento total, informar o percentual de diferimento "100"</t>
  </si>
  <si>
    <t>Valor do ICMS relativo ao Fundo de Combate à Pobreza (FCP) diferido</t>
  </si>
  <si>
    <t>N17e</t>
  </si>
  <si>
    <t>Valor efetivo do ICMS relativo ao Fundo de Combate à Pobreza (FCP)</t>
  </si>
  <si>
    <t>N17f</t>
  </si>
  <si>
    <t>Valor do ICMS relativo ao Fundo de Combate à Pobreza (FCP) realmente devido.</t>
  </si>
  <si>
    <t>Bloco 027 - Informações sobre Tributos incidentes sobre Produtos e Serviços IPI</t>
  </si>
  <si>
    <t>Informe com "027"</t>
  </si>
  <si>
    <t>Classe de enquadramento do IPI</t>
  </si>
  <si>
    <t>Para Cigarros e Bebidas</t>
  </si>
  <si>
    <t>CNPJ do produtor da mercadoria quando diferente do emitente</t>
  </si>
  <si>
    <t>Código do selo de controle IPI</t>
  </si>
  <si>
    <t>Quantidade de selo de controle IPI</t>
  </si>
  <si>
    <t>Código do Enquadramento legal do IPI</t>
  </si>
  <si>
    <t>Código da Situação tributária do IPI</t>
  </si>
  <si>
    <t>253
261</t>
  </si>
  <si>
    <t>00 = Entrada com recuperação de credito
49 = Outras Entradas
50 = Saída Tributadas
99 = Outras Saídas
01 = Entrada com Aliquota Zero
02 = Entrada Isenta
03 = Entrada não Tributada
04 = Entrada Imune
05 = Entrada com Suspensão
51 = Saída Tributada com Aliquota Zero
52 = Saída Isenta
53 = Saída não Tributada
54 = Saída Imune
55 = Saída com Suspensão</t>
  </si>
  <si>
    <t>Valor do Base Calculo do IPI</t>
  </si>
  <si>
    <t>Quantidade Total na unidade padrão para tributação</t>
  </si>
  <si>
    <t>Informar quando o calculo do IPI for por Unidade</t>
  </si>
  <si>
    <t>Valor por Unidade Tributável</t>
  </si>
  <si>
    <t>Alíquota de IPI</t>
  </si>
  <si>
    <t>Informar quando o calculo do IPI for por Aliquota</t>
  </si>
  <si>
    <t>Valor Total do IPI</t>
  </si>
  <si>
    <t>Bloco 028 - Informações sobre Tributos incidentes sobre Produtos e Serviços Importados</t>
  </si>
  <si>
    <t>Informe com "028"</t>
  </si>
  <si>
    <t>Valor da Base de Cálculo do Imposto de Importação</t>
  </si>
  <si>
    <t>Valor das Despesas aduaneiras</t>
  </si>
  <si>
    <t>Valor do Imposto de Importação</t>
  </si>
  <si>
    <t>Valor do Imposto sobre Operações Financeiras</t>
  </si>
  <si>
    <t>Bloco 029 - Informações sobre Tributos incidentes sobre Produtos e Serviços PIS</t>
  </si>
  <si>
    <t>Informe com "029"</t>
  </si>
  <si>
    <t>Codigo CST do PIS</t>
  </si>
  <si>
    <t>269
274
279
281</t>
  </si>
  <si>
    <r>
      <t xml:space="preserve">Informe com:
01 - Operação Tributavel (Base de Cálculo = Valor da Operação Mormal (Cumulativo/Não Cumulativo))
02 - Operação Tributavel (Base de Cálculo = Valor da Operação (Aliqota Diferenciada))
03 - Operação Tributavel (Base de Cálculo = Quantidade Vendida x Aliquota por Unidade de Produto)
04 - Operação Tributavel (Tributação Monofásica (Aliquota zero))
</t>
    </r>
    <r>
      <rPr>
        <b/>
        <u/>
        <sz val="10"/>
        <color rgb="FFFF0000"/>
        <rFont val="Arial"/>
        <family val="2"/>
      </rPr>
      <t>05 - Operação Tributavel (Substituição Tributária)</t>
    </r>
    <r>
      <rPr>
        <b/>
        <sz val="10"/>
        <color theme="1"/>
        <rFont val="Arial"/>
        <family val="2"/>
      </rPr>
      <t xml:space="preserve">
06 - Operação Tributavel (Aliquota zero)
07 - Operação Tributavel (Operação Isenta da Contribuição)
08 - Operação Tributavel (Operação sem Incidencia da Contribuição)
09 - Operação Tributavel (Operação com Suspensão da Contribuição)
49=Outras Operações de Saída;
50=Operação com Direito a Crédito - Vinculada Exclusivamente a Receita Tributada no Mercado Interno;
51=Operação com Direito a Crédito - Vinculada Exclusivamente a Receita Não Tributada no Mercado Interno;
52=Operação com Direito a Crédito – Vinculada Exclusivamente a Receita de Exportação;
53=Operação com Direito a Crédito - Vinculada a Receitas Tributadas e Não-Tributadas no Mercado Interno;
54=Operação com Direito a Crédito - Vinculada a Receitas Tributadas no Mercado Interno e de Exportação;
55=Operação com Direito a Crédito - Vinculada a Receitas Não-Tributadas no Mercado Interno e de Exportação;
56=Operação com Direito a Crédito - Vinculada a Receitas Tributadas e Não-Tributadas no Mercado Interno, e de Exportação;
60=Crédito Presumido - Operação de Aquisição Vinculada Exclusivamente a Receita Tributada no Mercado Interno;
61=Crédito Presumido - Operação de Aquisição Vinculada Exclusivamente a Receita Não-Tributada no Mercado Interno;
62=Crédito Presumido - Operação de Aquisição Vinculada Exclusivamente a Receita de Exportação;
63=Crédito Presumido - Operação de Aquisição Vinculada a Receitas Tributadas e Não-Tributadas no Mercado Interno;
64=Crédito Presumido - Operação de Aquisição Vinculada a Receitas Tributadas no Mercado Interno e de Exportação;
65=Crédito Presumido - Operação de Aquisição Vinculada a Receitas Não-Tributadas no Mercado Interno e de Exportação;
66=Crédito Presumido - Operação de Aquisição Vinculada a Receitas Tributadas e Não-Tributadas no Mercado Interno, e de Exportação;
67=Crédito Presumido - Outras Operações;
70=Operação de Aquisição sem Direito a Crédito;
71=Operação de Aquisição com Isenção;
72=Operação de Aquisição com Suspensão;
73=Operação de Aquisição a Alíquota Zero;
74=Operação de Aquisição; sem Incidência da Contribuição;
75=Operação de Aquisição por Substituição Tributária;
98=Outras Operações de Entrada;
99 - Outras Operações</t>
    </r>
  </si>
  <si>
    <t>Valor da Base de Cálculo do PIS</t>
  </si>
  <si>
    <t>270
282</t>
  </si>
  <si>
    <t>Alíquota do PIS (percentual)</t>
  </si>
  <si>
    <t>271
283</t>
  </si>
  <si>
    <t>Quantidade Vendida</t>
  </si>
  <si>
    <t>275
284</t>
  </si>
  <si>
    <t>Alíquota do PIS em Reais</t>
  </si>
  <si>
    <t>276
285</t>
  </si>
  <si>
    <t>Valor do PIS</t>
  </si>
  <si>
    <t>272
277
286</t>
  </si>
  <si>
    <t>Bloco 030 - Informações sobre Tributos incidentes sobre Produtos e Serviços PIS ST</t>
  </si>
  <si>
    <t>Informe com "030"</t>
  </si>
  <si>
    <t>Indica se o valor do PISST compõe o valor total da NF-e</t>
  </si>
  <si>
    <t>R07</t>
  </si>
  <si>
    <t>Indicadores sobre se os valores de PIS Substituição Tributária e COFINS Substituição Tributária integram o valor total da Nota. 
0=Valor do PISST não compõe o valor total da NF-e 
1=Valor do PISST compõe o valor total da NF-e</t>
  </si>
  <si>
    <t>Bloco 031 - Informações sobre Tributos incidentes sobre Produtos e Serviços Cofins</t>
  </si>
  <si>
    <t>Informe com "031"</t>
  </si>
  <si>
    <t>Código de Situação Tributária do Cofins</t>
  </si>
  <si>
    <t>295
300
305
307</t>
  </si>
  <si>
    <r>
      <t xml:space="preserve">01 = Operação Tributavel BC Vl Operação Aliquota Normal
02 = Operação Tributavel BC Vl Operação Aliquota Diferenciada
03 = Operação Tributavel BC Qdte Vendida x Aliquota por Unidade Produto
04 = Operação Tributavel Monofasico Aliquota Zero
</t>
    </r>
    <r>
      <rPr>
        <b/>
        <sz val="10"/>
        <color rgb="FFFF0000"/>
        <rFont val="Arial"/>
        <family val="2"/>
      </rPr>
      <t>05 = Operação Tributavel (substituição tributária)</t>
    </r>
    <r>
      <rPr>
        <b/>
        <sz val="10"/>
        <color theme="1"/>
        <rFont val="Arial"/>
        <family val="2"/>
      </rPr>
      <t xml:space="preserve">
06 = Operação Tributavel Aliquota Zero
07 = Operação Isenta
08 = Operação sem Incidência
09 = Operação com Suspensão
49=Outras Operações de Saída;
50=Operação com Direito a Crédito - Vinculada Exclusivamente a Receita Tributada no Mercado Interno;
51=Operação com Direito a Crédito - Vinculada Exclusivamente a Receita Não Tributada no Mercado Interno;
52=Operação com Direito a Crédito – Vinculada Exclusivamente a Receita de Exportação;
53=Operação com Direito a Crédito - Vinculada a Receitas Tributadas e Não-Tributadas no Mercado Interno;
54=Operação com Direito a Crédito - Vinculada a Receitas Tributadas no Mercado Interno e de Exportação;
55=Operação com Direito a Crédito - Vinculada a Receitas Não-Tributadas no Mercado Interno e de Exportação;
56=Operação com Direito a Crédito - Vinculada a Receitas Tributadas e Não-Tributadas no Mercado Interno, e de Exportação;
60=Crédito Presumido - Operação de Aquisição Vinculada Exclusivamente a Receita Tributada no Mercado Interno;
61=Crédito Presumido - Operação de Aquisição Vinculada Exclusivamente a Receita Não-Tributada no Mercado Interno;
62=Crédito Presumido - Operação de Aquisição Vinculada Exclusivamente a Receita de Exportação;
63=Crédito Presumido - Operação de Aquisição Vinculada a Receitas Tributadas e Não-Tributadas no Mercado Interno;
64=Crédito Presumido - Operação de Aquisição Vinculada a Receitas Tributadas no Mercado Interno e de Exportação;
65=Crédito Presumido - Operação de Aquisição Vinculada a Receitas Não-Tributadas no Mercado Interno e de Exportação;
66=Crédito Presumido - Operação de Aquisição Vinculada a Receitas Tributadas e Não-Tributadas no Mercado Interno, e de Exportação;
67=Crédito Presumido - Outras Operações;
70=Operação de Aquisição sem Direito a Crédito;
71=Operação de Aquisição com Isenção;
72=Operação de Aquisição com Suspensão;
73=Operação de Aquisição a Alíquota Zero;
74=Operação de Aquisição; sem Incidência da Contribuição;
75=Operação de Aquisição por Substituição Tributária;
98=Outras Operações de Entrada;
99 = Outras Operações</t>
    </r>
  </si>
  <si>
    <t>Valor da Base de Cálculo do Cofins</t>
  </si>
  <si>
    <t>296
308</t>
  </si>
  <si>
    <t>Alíquota do Cofins (percentual)</t>
  </si>
  <si>
    <t>297
309</t>
  </si>
  <si>
    <t>Alíquota da Cofins em Reais</t>
  </si>
  <si>
    <t>302
311</t>
  </si>
  <si>
    <t>301
310</t>
  </si>
  <si>
    <t xml:space="preserve">Valor do COFINS </t>
  </si>
  <si>
    <t>298
303
312</t>
  </si>
  <si>
    <t>Bloco 032 - Informações sobre Tributos incidentes sobre Produtos e Serviços Cofins ST</t>
  </si>
  <si>
    <t>Informe com "032"</t>
  </si>
  <si>
    <t>Alíquota do Cofins em Reais</t>
  </si>
  <si>
    <t>Valor do Cofins</t>
  </si>
  <si>
    <t>Indica se o valor da COFINS ST compõe o valor total da Nfe</t>
  </si>
  <si>
    <t>T07</t>
  </si>
  <si>
    <t>Indicadores sobre se os valores de PIS Substituição Tributária e COFINS Substituição Tributária integram o valor total da Nota. 
0=Valor da COFINSST não compõe o valor total da NF-e 
1=Valor da COFINSST compõe o valor total da NF-e</t>
  </si>
  <si>
    <t>Bloco 033 - Informações sobre Tributo ISSQN</t>
  </si>
  <si>
    <t>Informe com "033"</t>
  </si>
  <si>
    <t>Valor BC do ISSQN</t>
  </si>
  <si>
    <t>Aliquota do ISSQN</t>
  </si>
  <si>
    <t>Valor do ISSQN</t>
  </si>
  <si>
    <t>Codigo do Municipio Gerador do ISSQN</t>
  </si>
  <si>
    <t>Codigo da Lista de Serviços</t>
  </si>
  <si>
    <t>Informar o item da Lista de Serviços em que classifica o serviço no padrão ABRASF (Fomato NN.NN)..</t>
  </si>
  <si>
    <t>Valor da dedução da para redução da base de calculo</t>
  </si>
  <si>
    <t>324a</t>
  </si>
  <si>
    <t>Valor outras retenções</t>
  </si>
  <si>
    <t>324b</t>
  </si>
  <si>
    <t>Valor Declaratorio</t>
  </si>
  <si>
    <t>Valor desconto incondicionado</t>
  </si>
  <si>
    <t>324c</t>
  </si>
  <si>
    <t>Valor desconto condicionado</t>
  </si>
  <si>
    <t>324d</t>
  </si>
  <si>
    <t>Valor retenção ISS</t>
  </si>
  <si>
    <t>324f</t>
  </si>
  <si>
    <t>Indicador da exigibilidade do ISS</t>
  </si>
  <si>
    <t>324g</t>
  </si>
  <si>
    <t>1=Exigivel
2=Não incidencia
3=Isenção
4=Exportação
5=Imunidade
6=Exigibilidade suspensa por Decisão Judicial
7= Exigibilidade suspensa po Processo Administrativo</t>
  </si>
  <si>
    <t>Codigo do serviço prestado dentro do municipio</t>
  </si>
  <si>
    <t>324h</t>
  </si>
  <si>
    <t>Codigo do Municipio de incidencia do imposto</t>
  </si>
  <si>
    <t>324i</t>
  </si>
  <si>
    <t>Tabela do IBGE. Informar "9999999" para serviço fora do pais</t>
  </si>
  <si>
    <t>Codigo do Pais onde o serviço foi prestado</t>
  </si>
  <si>
    <t>324j</t>
  </si>
  <si>
    <t>Tabela do BACEN. Informar somente se o municipio da prestação do serviço for "9999999"</t>
  </si>
  <si>
    <t>Numero do processo judicial ou administrativo de suspensão da exigibilidade</t>
  </si>
  <si>
    <t>324k</t>
  </si>
  <si>
    <t>Informar somente quando declarada a suspensão da exigibilidade do ISSQN.</t>
  </si>
  <si>
    <t>Indicador de incentivo fiscal</t>
  </si>
  <si>
    <t>324l</t>
  </si>
  <si>
    <t>1=Sim
2= Não</t>
  </si>
  <si>
    <t>Bloco 034 - Informações Adicionais</t>
  </si>
  <si>
    <t>Informe com "034"</t>
  </si>
  <si>
    <t>Informações Adicionais do Produto ( Vide detalhe na coluna Considerações )</t>
  </si>
  <si>
    <t>Efetuar preenchimento com até 500 caracteres quando não for o layout ANFAVEA</t>
  </si>
  <si>
    <t>Bloco 035 - Informações Adicionais Padrão ANFAVEA - http://www.anfavea.com.br</t>
  </si>
  <si>
    <t>Informe com "035"</t>
  </si>
  <si>
    <t>Informações Adicionais do Produto ( Vide a redefinição abaixo )</t>
  </si>
  <si>
    <t>Exemplo: Cod-Produto-Cliente / Pedido de Compra, etc...</t>
  </si>
  <si>
    <t>Tipo de Registro</t>
  </si>
  <si>
    <t>FIAT</t>
  </si>
  <si>
    <t>Informe "IAP"</t>
  </si>
  <si>
    <t>Versão do Tipo de Registro</t>
  </si>
  <si>
    <t>Informe "01"</t>
  </si>
  <si>
    <t>Código do item do cliente</t>
  </si>
  <si>
    <t>ANFAVEA</t>
  </si>
  <si>
    <t xml:space="preserve">Pedido de compra do cliente </t>
  </si>
  <si>
    <t>Sigla do tipo de pedido</t>
  </si>
  <si>
    <t>Alteração técnica do Item ou Seppen</t>
  </si>
  <si>
    <t>Tipo de fornecimento</t>
  </si>
  <si>
    <t>Unidade de medida do cliente (NF)</t>
  </si>
  <si>
    <t>Data de validade do desenho</t>
  </si>
  <si>
    <t>Número do pedido da revenda</t>
  </si>
  <si>
    <t>Código do país exportador</t>
  </si>
  <si>
    <t>Peso bruto</t>
  </si>
  <si>
    <t>Ponto como separador decimal quando Aplicavel</t>
  </si>
  <si>
    <t>Peso líquido</t>
  </si>
  <si>
    <t>Tipo de chamada</t>
  </si>
  <si>
    <t>JIT; KB (Kanban); SEQ (Seqüenciado); CKD (Exportação) P&amp;A (Ricambi)</t>
  </si>
  <si>
    <t>Número da chamada ou Slip Number</t>
  </si>
  <si>
    <t>Data-hora da chamada</t>
  </si>
  <si>
    <t>AAAAMMDDHHMM</t>
  </si>
  <si>
    <t>Qtde de embalagens da chamada</t>
  </si>
  <si>
    <t>Qtde de itens da chamada</t>
  </si>
  <si>
    <t>Vírgula como separador decimal =&gt; 999999999,9999</t>
  </si>
  <si>
    <t>Local de entrega ou doca</t>
  </si>
  <si>
    <t>Ponto de uso</t>
  </si>
  <si>
    <t>Tipo de transporte</t>
  </si>
  <si>
    <t>Lote de produção/corrida</t>
  </si>
  <si>
    <t>CPI (Controle Inicial do Produção)</t>
  </si>
  <si>
    <t>Número da NF de embalagem associada</t>
  </si>
  <si>
    <t>Número da NF, com zeros à esquerda</t>
  </si>
  <si>
    <t>Série da NF de embalagem associada</t>
  </si>
  <si>
    <t>Codigo da embalagem</t>
  </si>
  <si>
    <t>Usar ";" para separar embalagens, quando mais de uma para o mesmo item</t>
  </si>
  <si>
    <t>Autorização de faturamento</t>
  </si>
  <si>
    <t>Bloco 036 ICMS Particionado com CST = 10 e 90</t>
  </si>
  <si>
    <t>Informe com "036"</t>
  </si>
  <si>
    <t>0 = Preço Tabelado
1 = Lista Negativa (Valor)
2 = Lista Positiva (Valor)
3 = Lista Neutra (Valor)
4 = Margem Valor Agregado (%)
5 = Pauta (Valor)</t>
  </si>
  <si>
    <t>245.03</t>
  </si>
  <si>
    <t>10 = Tributada e com Substituição tributaria
90 = Outros</t>
  </si>
  <si>
    <t>245,10</t>
  </si>
  <si>
    <t>Percentual da Redução de Base Calculo do ICMS-ST</t>
  </si>
  <si>
    <t>245,12</t>
  </si>
  <si>
    <t>245,08</t>
  </si>
  <si>
    <t>245,14</t>
  </si>
  <si>
    <t>Percentual da BC operação própria</t>
  </si>
  <si>
    <t>Percentual para determinação do valor da Base de Cálculo da operação própria</t>
  </si>
  <si>
    <t>UF para qual é devido o ICMS ST</t>
  </si>
  <si>
    <t>Sigla da UF para qual é devido o ICMS ST da Operação</t>
  </si>
  <si>
    <t>MANTEMOS O CAMPO 388</t>
  </si>
  <si>
    <t>MANTEMOS O CAMPO 389</t>
  </si>
  <si>
    <t>Valor da Base de Cálculo do FCP ST</t>
  </si>
  <si>
    <t>N23.1</t>
  </si>
  <si>
    <t>Percentual do FCP ST</t>
  </si>
  <si>
    <t>Valor do FCP ST</t>
  </si>
  <si>
    <t>Bloco 037 ICMS ST com CST = 41 e 60</t>
  </si>
  <si>
    <t>Informe com "037"</t>
  </si>
  <si>
    <t>245,18</t>
  </si>
  <si>
    <t>245,19</t>
  </si>
  <si>
    <t>41 = Não Tributada
60= cobrado anteriormente por substituição tributária</t>
  </si>
  <si>
    <t>245,20</t>
  </si>
  <si>
    <t>245,21</t>
  </si>
  <si>
    <t>Valor do BC do ICMS ST retido na UF destino</t>
  </si>
  <si>
    <t xml:space="preserve">Informar valor da BC do ICMS ST da UF destino </t>
  </si>
  <si>
    <t>Valor do ICMS ST retido na UF destino</t>
  </si>
  <si>
    <t xml:space="preserve">Informar o valor do ICMS ST da UF destino </t>
  </si>
  <si>
    <t>Bloco 038 ICMS  Simples Nacional com CSOSN = 101, 102, 103, 201, 202, 203, 300, 400, 500 e 900</t>
  </si>
  <si>
    <t>245,25
245,28
245,39
245,48
245,53</t>
  </si>
  <si>
    <t>245,55</t>
  </si>
  <si>
    <t>245,30
245,41
245,60</t>
  </si>
  <si>
    <t>CSOSN - Codigo de Situação da Operação - Simples Nacional</t>
  </si>
  <si>
    <t>245,26
245,29
245,40
245,49
245,54</t>
  </si>
  <si>
    <t>CSOSN = 101
101- Tributada pelo Simples Nacional com permissão de crédito. 
CSOSN = 102, 103, 300 ou 400
102- Tributada pelo Simples Nacional sem permissão de crédito.
103 – Isenção do ICMS no Simples Nacional para faixa de receita bruta.
300 – Imune.
400 – Não tributada pelo Simples Nacional 
CSOSN = 201
201- Tributada pelo Simples Nacional com permissão de crédito e com cobrança do ICMS por Substituição Tributária 
CSOSN = 202 ou 203
202- Tributada pelo Simples Nacional sem permissão de crédito e com cobrança do ICMS por Substituição Tributária
203- Isenção do ICMS nos Simples Nacional para faixa de receita bruta e com cobrança do ICMS por Substituição Tributária 
CSOSN = 500
500 – ICMS cobrado anteriormente por substituição tributária (substituído) ou por antecipação 
CSOSN = 900
Tributação pelo ICMS 90 - Outros</t>
  </si>
  <si>
    <t>245,58</t>
  </si>
  <si>
    <t>245,34
245,45
245,64</t>
  </si>
  <si>
    <t xml:space="preserve">245,31
245,42
245,61
</t>
  </si>
  <si>
    <t>Percentual da Redução de Base Calculo ICMS</t>
  </si>
  <si>
    <t>245,57</t>
  </si>
  <si>
    <t>224,32
224,43
245,62</t>
  </si>
  <si>
    <t>245,56</t>
  </si>
  <si>
    <t>245.33
245,44
245.63</t>
  </si>
  <si>
    <t xml:space="preserve">245,59
</t>
  </si>
  <si>
    <t>245,35
245,46
245,65</t>
  </si>
  <si>
    <t>Alíquota aplicável de cálculo do crédito (Simples Nacional).</t>
  </si>
  <si>
    <t>245,27
245,36
245.52
245,66</t>
  </si>
  <si>
    <t>Valor crédito do ICMS que pode ser aproveitado nos termos do art. 23 da LC 123 (Simples Nacional)</t>
  </si>
  <si>
    <t xml:space="preserve">245,28
245,37
</t>
  </si>
  <si>
    <t>Valor da base de calculo do ICMS ST retido</t>
  </si>
  <si>
    <t>245,50</t>
  </si>
  <si>
    <t>Valor do ICMS ST retido</t>
  </si>
  <si>
    <t>245,51</t>
  </si>
  <si>
    <t>245.31
245.42
245.61
145.62</t>
  </si>
  <si>
    <t>Percentaul da redução de Base de Calculo do ICMS ST</t>
  </si>
  <si>
    <t>245.2
245.43</t>
  </si>
  <si>
    <t>245.35w
245.46w
245.65w</t>
  </si>
  <si>
    <t>245.35x
245.46x
245.65x</t>
  </si>
  <si>
    <t>245.35y
245.46y
245.65y</t>
  </si>
  <si>
    <t>245.50.0</t>
  </si>
  <si>
    <t>Valor da Base de Cálculo do FCP retido anteriormente</t>
  </si>
  <si>
    <t>245.51w</t>
  </si>
  <si>
    <t>Percentual do FCP retido anteriormente por Substituição Tributária</t>
  </si>
  <si>
    <t>245.51x</t>
  </si>
  <si>
    <t>Percentual relativo ao Fundo de Combate à Pobreza (FCP). Nota: Percentual máximo de 2%, conforme a legislação.
Nota: Percentual máximo de 2%, conforme a legislação.</t>
  </si>
  <si>
    <t>Valor do FCP retido anteriormente por Substituição Tributária</t>
  </si>
  <si>
    <t>245.51y</t>
  </si>
  <si>
    <t>Alíquota aplicável de cálculo do crédito (SIMPLES NACIONAL).</t>
  </si>
  <si>
    <t>245.36</t>
  </si>
  <si>
    <t>Valor crédito do ICMS que pode ser aproveitado nos termos do art. 23 da LC 123 (SIMPLES NACIONAL)</t>
  </si>
  <si>
    <t>245.37</t>
  </si>
  <si>
    <t>Bloco 039 Produtos e Serviços/Grupo de Exportação para o Item</t>
  </si>
  <si>
    <t>Informe com "039"</t>
  </si>
  <si>
    <t>Numero do ato concesionario de Drawback</t>
  </si>
  <si>
    <t>128g</t>
  </si>
  <si>
    <t>Informar apenas no Drawback e nas exportações</t>
  </si>
  <si>
    <t>Bloco 040 Grupo sobre Exportação Indireta</t>
  </si>
  <si>
    <t>Informe com "040"</t>
  </si>
  <si>
    <t>Numero do Registro de Exportação</t>
  </si>
  <si>
    <t>128i</t>
  </si>
  <si>
    <t>Chave de Acesso da NFe Recebida para Exportação</t>
  </si>
  <si>
    <t>128j</t>
  </si>
  <si>
    <t>NFe recebida com fim especifico de exportação</t>
  </si>
  <si>
    <t>Quantidade do item realmente exportado</t>
  </si>
  <si>
    <t>128k</t>
  </si>
  <si>
    <t>A unidade de medida desta quantidade é a unidade de comercialização do item</t>
  </si>
  <si>
    <t>Bloco 041 Tributos Devolvidos (Para o item da NF-e)</t>
  </si>
  <si>
    <t>Informe com "041"</t>
  </si>
  <si>
    <t>Percentual da mercadoria devolvida</t>
  </si>
  <si>
    <t>324q</t>
  </si>
  <si>
    <t>O valor maximo deste percentual é 100%, no caso de devolução total da mercadoria</t>
  </si>
  <si>
    <t>Informação do IPI devolvido</t>
  </si>
  <si>
    <t>324r</t>
  </si>
  <si>
    <t>O motivo da devolução deverá ser informado pela empresa no campo de Informações Adicionais do Produto (infAdProd)</t>
  </si>
  <si>
    <t>Valor do IPI Devovlido</t>
  </si>
  <si>
    <t>324s</t>
  </si>
  <si>
    <t>Bloco 042 Grupo de Tributação do ICMS para a UF de destino</t>
  </si>
  <si>
    <t>Informe com "042", Grupo a ser informado nas vendas interestaduais para consumidor final, não contribuinte do ICMS</t>
  </si>
  <si>
    <t>Valor da BC do ICMS na UF de destino</t>
  </si>
  <si>
    <t>245a.03</t>
  </si>
  <si>
    <t>Valor da Base de Cálculo do ICMS na UF do destinatário.
Nota: Normalmente o valor da Base de Cálculo da mercadoria é o mesmo para a UF do remetente e para a UF do destinatário, principalmente na venda para consumidor final.</t>
  </si>
  <si>
    <t>Percentual do ICMS relativo ao Fundo de combate a pobreza (FCP) na UF de destino</t>
  </si>
  <si>
    <t>245a.05</t>
  </si>
  <si>
    <t>Percentual adicional inserido na aliquota interna da UF de destino, relativo ao Fundo de combate a pobreza (FCP) naquela UF. Nota : Percentual maximo de 2%, conforme a legislação.</t>
  </si>
  <si>
    <t>Alíquota interna da UF de destino</t>
  </si>
  <si>
    <t>245a.07</t>
  </si>
  <si>
    <t>Alíquota adotada nas operações internas na UF do destinatário para o produto / mercadoria.</t>
  </si>
  <si>
    <t>Alíquota interestadual das UF envolvidas</t>
  </si>
  <si>
    <t>245a.09</t>
  </si>
  <si>
    <t>Alíquota interestadual das UF envolvidas:
- 4% alíquota interestadual para produtos importados;
- 7% para os Estados de origem do Sul e Sudeste (exceto ES), destinado para os Estados do Norte e Nordeste ou ES;
- 12% para os demais casos.</t>
  </si>
  <si>
    <t>Percentual provisório de partilha do ICMS interestadual</t>
  </si>
  <si>
    <t>245a.11</t>
  </si>
  <si>
    <t>Percentual de partilha para a UF do destinatário:
- 40% em 2016;
- 60% em 2017;
- 80% em 2018;
- 100% a partir de 2019.</t>
  </si>
  <si>
    <t>Valor do ICMS relativo ao fundo de combate a pobreza (FCP) da UF de destino</t>
  </si>
  <si>
    <t>245a.13</t>
  </si>
  <si>
    <t>Valor do ICMS relativo ao Fundo de Combate à Pobreza (FCP) da UF de destino.</t>
  </si>
  <si>
    <t>Valor do ICMS Interestadual para a UF de destino</t>
  </si>
  <si>
    <t>245a.15</t>
  </si>
  <si>
    <t>Valor do ICMS de partilha para a UF do destinatário.</t>
  </si>
  <si>
    <t>Valor do ICMS Interestadual para a UF do remetente</t>
  </si>
  <si>
    <t>245a.17</t>
  </si>
  <si>
    <t>Valor do ICMS de partilha para a UF do remetente.
Nota: A partir de 2019, este valor será zero.</t>
  </si>
  <si>
    <t>Valor da BC FCP na UF de destino</t>
  </si>
  <si>
    <t>245a.04</t>
  </si>
  <si>
    <t>Valor da Base de Cálculo do FCP na UF de destino.</t>
  </si>
  <si>
    <t>Bloco 043 Rastreabilidade de produto</t>
  </si>
  <si>
    <t>Número do Lote do produto</t>
  </si>
  <si>
    <t>128r</t>
  </si>
  <si>
    <t>Quantidade de produto no Lote</t>
  </si>
  <si>
    <t>128s</t>
  </si>
  <si>
    <t>Data de fabricação/ Produção</t>
  </si>
  <si>
    <t>128t</t>
  </si>
  <si>
    <t>Formato: “AAAA-MM-DD”</t>
  </si>
  <si>
    <t>Data de validade</t>
  </si>
  <si>
    <t>128u</t>
  </si>
  <si>
    <t>Formato: “AAAA-MM-DD” Informar o último dia do mês caso a validade não especifique o dia.</t>
  </si>
  <si>
    <t>Código de Agregação</t>
  </si>
  <si>
    <t>128v</t>
  </si>
  <si>
    <t>Bloco-050 - Informações Dados sobre Totais da Nota Fiscal</t>
  </si>
  <si>
    <t>Informe com "050"</t>
  </si>
  <si>
    <t>Base de Cálculo do ICMS</t>
  </si>
  <si>
    <t>Base de Cálculo do ICMS-ST</t>
  </si>
  <si>
    <t>Valor Total do ICMS-ST</t>
  </si>
  <si>
    <t>Valor Total dos produtos e serviços</t>
  </si>
  <si>
    <t>Valor Total do frete</t>
  </si>
  <si>
    <t>Valor Total do Desconto</t>
  </si>
  <si>
    <t>Valor Total do II</t>
  </si>
  <si>
    <t>Valor do COFINS</t>
  </si>
  <si>
    <t>Outras Despesas Acessórias</t>
  </si>
  <si>
    <t>Valor Total da Nfe</t>
  </si>
  <si>
    <t>Valor Total PIS-ST (campo extendido para impressão no Danfe Conv.51)</t>
  </si>
  <si>
    <t>Valor Total Cofins-ST     (campo extendido para impressão no Danfe Conv.51)</t>
  </si>
  <si>
    <t>341a</t>
  </si>
  <si>
    <t>Valor Total do ICMS Desonerado</t>
  </si>
  <si>
    <t>329.01</t>
  </si>
  <si>
    <t>Valor total do ICMS relativo Fundo de combate a pobreza (FCP) da UF de destino</t>
  </si>
  <si>
    <t>329.03</t>
  </si>
  <si>
    <t>Valor total do ICMS Interestadual para a UF de destino</t>
  </si>
  <si>
    <t>329.05</t>
  </si>
  <si>
    <t>Valor total do ICMS Interestadual  para a UF do remetente</t>
  </si>
  <si>
    <t>329.07</t>
  </si>
  <si>
    <t>Valor Total do FCP (Fundo de Combate à Pobreza)</t>
  </si>
  <si>
    <t>329.02</t>
  </si>
  <si>
    <t>Corresponde ao total da soma dos campos id: N17c</t>
  </si>
  <si>
    <t>Valor Total do FCP (Fundo de Combate à Pobreza) retido por substituição tributária</t>
  </si>
  <si>
    <t>331.01</t>
  </si>
  <si>
    <t>Corresponde ao total da soma dos campos id:N23d - Soma ao total da NFe (Exceto - Faturamento direto de veículos novos)</t>
  </si>
  <si>
    <t>Valor Total do FCP retido anteriormente por Substituição Tributária</t>
  </si>
  <si>
    <t>331.02</t>
  </si>
  <si>
    <t>Corresponde ao total da soma dos campos id:N27d</t>
  </si>
  <si>
    <t>Valor Total do IPI devolvido</t>
  </si>
  <si>
    <t>337.01</t>
  </si>
  <si>
    <t>Deve ser informado quando preenchido o Grupo Tributos Devolvidos na emissão de nota finNFe=4 (devolução) nas operações com não contribuintes do IPI. Corresponde ao total da soma dos campos id:UA04. - Soma ao total da NFe (Exceto - Faturamento direto de veículos novos)</t>
  </si>
  <si>
    <t>Bloco 051 - Informações sobre Totais dos Tributos ISSQN</t>
  </si>
  <si>
    <t>Informe com "051"</t>
  </si>
  <si>
    <t>Valor Total dos Serviços sob Nao-incidencia ou não Tributados pelo ICMS</t>
  </si>
  <si>
    <t>Base de Cálculo do ISS</t>
  </si>
  <si>
    <t>Valor Total do ISS</t>
  </si>
  <si>
    <t>Valor do PIS sobre Serviços</t>
  </si>
  <si>
    <t>Valor do COFINS sobre Serviços</t>
  </si>
  <si>
    <t>Data da Prestação de Serviço</t>
  </si>
  <si>
    <t>347a</t>
  </si>
  <si>
    <t>Formato: AAAMMDD</t>
  </si>
  <si>
    <t>Valor dedução para redução da Base de Calculo</t>
  </si>
  <si>
    <t>347b</t>
  </si>
  <si>
    <t>Valor total outras retenções</t>
  </si>
  <si>
    <t>347c</t>
  </si>
  <si>
    <t>Valor Declaratório</t>
  </si>
  <si>
    <t>Valor total desconto incondicionado</t>
  </si>
  <si>
    <t>347d</t>
  </si>
  <si>
    <t>Valor total desconto condicionado</t>
  </si>
  <si>
    <t>347e</t>
  </si>
  <si>
    <t>Valor total retenção ISS</t>
  </si>
  <si>
    <t>347f</t>
  </si>
  <si>
    <t>Código do Regime Especial de Tributação</t>
  </si>
  <si>
    <t>347g</t>
  </si>
  <si>
    <t>Bloco 052 - Informações sobre Totais das Retenções dos Tributos</t>
  </si>
  <si>
    <t>Informe com "052"</t>
  </si>
  <si>
    <t>Valor Retido de PIS</t>
  </si>
  <si>
    <t>Valor Retido de COFINS</t>
  </si>
  <si>
    <t>Exemplos de atos normativos que definem obrigatoriedade da retenção de contribuições: a) IRPJ/CSLL/PIS/COFINS - Fonte - Recebimentos de Órgãos Públicos Federais Lei nº 9.430, de 27 de dezembro de 1996, art. 64 Lei nº 10.833/2003, art. 34 como normas infralegais, temos como exemplo: Instrução Normativa SRF nº 480/2004 e Instrução Normativa nº 539, de 25/04/2005. b) Retenção do Imposto de Renda pelas Fontes Pagadoras REMUNERAÇÃO DE SERVIÇOS PROFISSIONAIS PRESTADOS POR PESSOA JURÍDICA LEI Nº 7.450/85, ART. 52 c) IRPJ, CSLL, COFINS e PIS - Serviços Prestados por Pessoas Jurídicas - Retenção na Fonte Lei nº 10.833 de 29.12.2003, arts. 30, 31, 32, 35 e 36</t>
  </si>
  <si>
    <t>Valor Retido de CSLL</t>
  </si>
  <si>
    <t>Base de Cálculo do IRRF</t>
  </si>
  <si>
    <t>Valor Retido de IRRF</t>
  </si>
  <si>
    <t>Base  de Cálculo de Retenção da Previdência Social</t>
  </si>
  <si>
    <t>Valor da Retenção da Previdência Social</t>
  </si>
  <si>
    <t>Bloco-053 - Informações Dados referente a Transportes</t>
  </si>
  <si>
    <t>Informe com "053"</t>
  </si>
  <si>
    <t>Modalidade do Frete</t>
  </si>
  <si>
    <t>0 = Por conta do Emitente
1 = Por conta do Destinatário/Remetente
2 = Por conta de Terceiros
3 = Transporte Próprio por conta do Remetente; 
4 = Transporte Próprio por conta do Destinatário; 
9 = Sem Ocorrência de Transporte.</t>
  </si>
  <si>
    <t>CNPJ do Transportador</t>
  </si>
  <si>
    <t>CPF do Transportador</t>
  </si>
  <si>
    <t>Razão Social ou Nome</t>
  </si>
  <si>
    <t>Informar a IE quando o transportador for contribuinte do ICMS. Informar ISENTO quando o transportador for contribuinte do ICMS, mas não estiver obrigado à inscrição no cadastro de contribuintes do ICMS. Não informar o conteúdo da TAG se o transportador não for contribuinte do ICMS. Esta tag aceita apenas: . ausência de conteúdo (&lt;IE&gt;&lt;/IE&gt; ou &lt;IE/&gt;) para transportador não contribuinte do ICMS; . algarismos para transportador contribuinte do ICMS, sem caracteres de formatação (ponto, barra, hífen, etc.); . literal “ISENTO” para transportador contribuintes do ICMS que são isentos de inscrição no cadastro de contribuintes do ICMS; A UF deve ser informada se informado uma IE. (v2.0)</t>
  </si>
  <si>
    <t>Endereço Completo</t>
  </si>
  <si>
    <t>A UF deve ser informada se informado uma IE. (v2.0)</t>
  </si>
  <si>
    <t>Bloco 054 - Informações sobre Tributos do Transporte</t>
  </si>
  <si>
    <t>Informe com "054"</t>
  </si>
  <si>
    <t>Valor do Serviço</t>
  </si>
  <si>
    <t>Base Calculo da Retenção do ICMS</t>
  </si>
  <si>
    <t>Alíquota de Retenção</t>
  </si>
  <si>
    <t>Valor do ICMS Retido</t>
  </si>
  <si>
    <t>Código Fiscal da Operações e Prestações</t>
  </si>
  <si>
    <t>Utilizar Tabela de CFOP.</t>
  </si>
  <si>
    <t>Informar o município de ocorrência do fato gerador do ICMS do transporte. Utilizar a Tabela do IBGE (Anexo VII - Tabela de UF, Município e País)</t>
  </si>
  <si>
    <t>Bloco 055 - Informações sobre Veiculo Transportador</t>
  </si>
  <si>
    <t>Informe com "055"</t>
  </si>
  <si>
    <t>Placa do Veículo</t>
  </si>
  <si>
    <t>Registro Nacional de Transportador de Carga (ANTT)</t>
  </si>
  <si>
    <t>Identificação do Vagão</t>
  </si>
  <si>
    <t>380a</t>
  </si>
  <si>
    <t>Identificação da Balsa</t>
  </si>
  <si>
    <t>380b</t>
  </si>
  <si>
    <t>Bloco 056 - Informações sobre Volumes Transportados</t>
  </si>
  <si>
    <t>Informe com "056"</t>
  </si>
  <si>
    <t>Quantidade dos Volumes Transportados</t>
  </si>
  <si>
    <t>Espécie dos Volumes Transportados</t>
  </si>
  <si>
    <t>Marca dos Volumes Transportados</t>
  </si>
  <si>
    <t>Numeração dos Volumes Transportados</t>
  </si>
  <si>
    <t>Peso Líquido em Kilos</t>
  </si>
  <si>
    <t>Peso Bruto em Kilos</t>
  </si>
  <si>
    <t>Número do Lacre</t>
  </si>
  <si>
    <t>Bloco 057 a 069 Reservado para futuras implementações</t>
  </si>
  <si>
    <t>Bloco-070 - Informações sobre Cobrança</t>
  </si>
  <si>
    <t>Informe com "070"</t>
  </si>
  <si>
    <t>Número da Fatura</t>
  </si>
  <si>
    <t>Valor Original da Fatura</t>
  </si>
  <si>
    <t>Valor do Desconto da Fatura</t>
  </si>
  <si>
    <t>Valor Líquido da Fatura</t>
  </si>
  <si>
    <t>Bloco-071 - Informações sobre Duplicatas</t>
  </si>
  <si>
    <t>Informe com "071"</t>
  </si>
  <si>
    <t>Número da Duplicata</t>
  </si>
  <si>
    <t>Data do Vencimento da Duplicata</t>
  </si>
  <si>
    <t>Valor da Duplicata</t>
  </si>
  <si>
    <t>Bloco-072 - Formas de Pagamento</t>
  </si>
  <si>
    <t>Informe com "072"
Obrigatório o preenchimento do Grupo Informações de Pagamento para NF-e e NFC-e. Para as notas com finalidade de Ajuste ou Devolução o campo Forma de Pagamento deve ser preenchido com 90=Sem Pagamento.</t>
  </si>
  <si>
    <t>Forma de Pagamento</t>
  </si>
  <si>
    <t>398b</t>
  </si>
  <si>
    <t>Utilizar a Tabela de códigos dos meios de pagamentos
publicada no Portal Nacional da Nota Fiscal Eletrônica.</t>
  </si>
  <si>
    <t>Valor do pagamento</t>
  </si>
  <si>
    <t>398d</t>
  </si>
  <si>
    <t>CNPJ da instituição de pagamento</t>
  </si>
  <si>
    <t>398e</t>
  </si>
  <si>
    <t>Informar o CNPJ da instituição de pagamento, adquirente
ou subadquirente. Caso o pagamento seja
processado pelo intermediador da transação,
informar o CNPJ do intermediador</t>
  </si>
  <si>
    <t>Bandeira da operadora de cartao de credito/debito</t>
  </si>
  <si>
    <t>398f</t>
  </si>
  <si>
    <t>01=Visa
02=Mastercard
03=American Express
04=Sorocred
05=Diners Club 
06=Elo 
07=Hipercard 
08=Aura 
09=Cabal
99=Outros</t>
  </si>
  <si>
    <t>Numero de autorização da operação cartao de credito/debito</t>
  </si>
  <si>
    <t>398g</t>
  </si>
  <si>
    <t>Identifica o numero da autorização da transação da operação com cartao de credito e/ou debito</t>
  </si>
  <si>
    <t>Valor do troco</t>
  </si>
  <si>
    <t>398i</t>
  </si>
  <si>
    <t>Valor do Troco</t>
  </si>
  <si>
    <t>398a2</t>
  </si>
  <si>
    <t>0= Pagamento à Vista 
1= Pagamento à Prazo</t>
  </si>
  <si>
    <t>Descrição do Meio de Pagamento</t>
  </si>
  <si>
    <t>398c</t>
  </si>
  <si>
    <t>Descrição do meio de pagamento. Preencher informando o
meio de pagamento utilizado quando o código do
meio de pagamento for informado como 99-outros.</t>
  </si>
  <si>
    <t>Bloco-073 - Informações do Intermediador da Transação</t>
  </si>
  <si>
    <t>Informe com 073</t>
  </si>
  <si>
    <t>CNPJ do Intermediador da Transação (agenciador, plataforma de delivery, marketplace e similar) de
serviços e de negócios.</t>
  </si>
  <si>
    <t>YB02</t>
  </si>
  <si>
    <t>Informar o CNPJ do Intermediador da Transação
(agenciador, plataforma de delivery, marketplace e
similar) de serviços e de negócios.</t>
  </si>
  <si>
    <t>Identificador cadastrado no intermediador</t>
  </si>
  <si>
    <t>YB03</t>
  </si>
  <si>
    <t>Nome do usuário ou identificação do perfil do vendedor no
site do intermediador (agenciador, plataforma de
delivery, marketplace e similar) de serviços e de negócios.</t>
  </si>
  <si>
    <t>Bloco 074 a 079 Reservado para futuras implementações</t>
  </si>
  <si>
    <t>Bloco-080 - Informações Adicionais para o Fisco</t>
  </si>
  <si>
    <t>Informe com "080"</t>
  </si>
  <si>
    <t>Informações Adicionais para o Fisco</t>
  </si>
  <si>
    <t>Limite de 4 Ocorrências =&gt; Total 2000 Bytes.</t>
  </si>
  <si>
    <t>Bloco-081 - Informações Adicionais para EDI do Contribuinte</t>
  </si>
  <si>
    <t>Informe com "081"</t>
  </si>
  <si>
    <t>Informações para EDI</t>
  </si>
  <si>
    <t>Limite de 10 Ocorrências =&gt; Total 5000 Bytes.</t>
  </si>
  <si>
    <t>Bloco-082 - Informações de Uso Livre do Contribuinte</t>
  </si>
  <si>
    <t>Informe com "082"</t>
  </si>
  <si>
    <t>Identificação do Campo - Contribuinte</t>
  </si>
  <si>
    <t>401b</t>
  </si>
  <si>
    <t>Conteudo do Campo - Contribuinte</t>
  </si>
  <si>
    <t>401c</t>
  </si>
  <si>
    <t>Bloco-083 - Informações sobre Comercio Exterior Exportação</t>
  </si>
  <si>
    <t>Informe com "083"</t>
  </si>
  <si>
    <t>UF onde ocorrerá o Embarque dos Produtos</t>
  </si>
  <si>
    <t>Não aceita o valor "EX".</t>
  </si>
  <si>
    <t>Local onde ocorrerá o Embarque dos Produtos</t>
  </si>
  <si>
    <t>Descrição do local de despacho</t>
  </si>
  <si>
    <t>404a</t>
  </si>
  <si>
    <t>Descrição do Recinto Alfandegado ou do local onde foi efetivado o despacho para a exportação, conforme padronização da RFB</t>
  </si>
  <si>
    <t>Bloco-084 - Informações sobre Compras</t>
  </si>
  <si>
    <t>Informe com "084"</t>
  </si>
  <si>
    <t>Nota de Empenho</t>
  </si>
  <si>
    <t>Excluido e substituido pelo campo 559</t>
  </si>
  <si>
    <t>Pedido</t>
  </si>
  <si>
    <t>Informar o Pedido</t>
  </si>
  <si>
    <t>Contrato</t>
  </si>
  <si>
    <t>Informar o Contrato</t>
  </si>
  <si>
    <t>406</t>
  </si>
  <si>
    <t>Nota de Empenho quando se trata de compra Publica</t>
  </si>
  <si>
    <t>Bloco-085 - Informações de Uso Livre do Fisco</t>
  </si>
  <si>
    <t>Informe com "085"</t>
  </si>
  <si>
    <t>Identificação do Campo - Fisco</t>
  </si>
  <si>
    <t>401e</t>
  </si>
  <si>
    <t>Conteudo do Campo - Fisco</t>
  </si>
  <si>
    <t>401f</t>
  </si>
  <si>
    <t>Bloco-086 - Informações de Processo ou Ato Concessório</t>
  </si>
  <si>
    <t>Informe com "086"</t>
  </si>
  <si>
    <t>Identificador do Processo ou Ato Concessório</t>
  </si>
  <si>
    <t>401h</t>
  </si>
  <si>
    <t>Indicador da Origem do Processo</t>
  </si>
  <si>
    <t>401i</t>
  </si>
  <si>
    <t>Origem do Processo informar com:
0 = SEFAZ
1 = Justiça Federal
2 = Justiça Estadual
3 = Secex / RFB
9 = Outros</t>
  </si>
  <si>
    <t>Tipo do ato concessório</t>
  </si>
  <si>
    <t>Z10</t>
  </si>
  <si>
    <t>Bloco 087 - Documentos Adicionais Veículos - Comprovante de Entrega</t>
  </si>
  <si>
    <t>Informe com "087"</t>
  </si>
  <si>
    <t xml:space="preserve">Endereço da Impressora.
Exemplo.
\\PLBETFIA232
</t>
  </si>
  <si>
    <t>03 - Bandeja Formulario Adicional-1
04 - Bandeja Formulario Adicional-2</t>
  </si>
  <si>
    <t>00 - Sem box de impressão
01 - Saida no box-01
02 - Saida no box-02
03 - Saida no box-03
04 - Saida no box-04
05 - Saida no box-05
06 - Saida no box-06
07 - Saida no box-07
08 - Saida no box-08
09 - Saida no box-09
10 - Saida no box-10
11 - Saida no box-11
12 - Saida no box-12</t>
  </si>
  <si>
    <t>Chassi</t>
  </si>
  <si>
    <t>Digito Verificador</t>
  </si>
  <si>
    <t>Combustivel</t>
  </si>
  <si>
    <t xml:space="preserve">C </t>
  </si>
  <si>
    <t>Nota Fiscal</t>
  </si>
  <si>
    <t>Digito Verificador Nota Fiscal</t>
  </si>
  <si>
    <t>Nome Cliente</t>
  </si>
  <si>
    <t>Codigo-Cliente</t>
  </si>
  <si>
    <t>Digito Verificador Cliente</t>
  </si>
  <si>
    <t>Modelo</t>
  </si>
  <si>
    <t>Versão</t>
  </si>
  <si>
    <t>Serie</t>
  </si>
  <si>
    <t>Descrição Modelo</t>
  </si>
  <si>
    <t>Descrição Ano</t>
  </si>
  <si>
    <t>Bloco 088 - Documentos Adicionais Veículos - COC (Consegna Ordem di Client)</t>
  </si>
  <si>
    <t>Informe com "088"</t>
  </si>
  <si>
    <t>Coc-Destino</t>
  </si>
  <si>
    <t>Patio/Piazzale</t>
  </si>
  <si>
    <t>Coc-Mercado</t>
  </si>
  <si>
    <t>Coc-Descricao</t>
  </si>
  <si>
    <t>Coc-Porto-Destino</t>
  </si>
  <si>
    <t>Cliente Italia</t>
  </si>
  <si>
    <t>Código Vin</t>
  </si>
  <si>
    <t>Numero Ordini</t>
  </si>
  <si>
    <t>Modelo Exportação</t>
  </si>
  <si>
    <t>Versão Sincom</t>
  </si>
  <si>
    <t>Serie Sincom</t>
  </si>
  <si>
    <t>Acabamento Sincom</t>
  </si>
  <si>
    <t>Coc-All-Merc</t>
  </si>
  <si>
    <t>Grupo Opcionais Sincom</t>
  </si>
  <si>
    <t>Caracteristica Expedição</t>
  </si>
  <si>
    <t>Coc-All-Esp</t>
  </si>
  <si>
    <t>Pneu</t>
  </si>
  <si>
    <t>Cor Externa Sincom</t>
  </si>
  <si>
    <t xml:space="preserve">Cor Interna Sincom </t>
  </si>
  <si>
    <t>Coc-Desc-Carr</t>
  </si>
  <si>
    <t>Coc-Motor</t>
  </si>
  <si>
    <t>Coc-Desc-Merc</t>
  </si>
  <si>
    <t>Coc-Estab</t>
  </si>
  <si>
    <t>Coc-Data-Acab</t>
  </si>
  <si>
    <t>Peso Do Veiculo</t>
  </si>
  <si>
    <t>Numero Do Motor</t>
  </si>
  <si>
    <t>Coc-Cod-Op</t>
  </si>
  <si>
    <t>Coc-Desc-Op</t>
  </si>
  <si>
    <t>Observações</t>
  </si>
  <si>
    <t xml:space="preserve">Coc-Car-Esp </t>
  </si>
  <si>
    <t>Coc-Desc-Esp</t>
  </si>
  <si>
    <t>Bloco 089 foi eliminado e desmembrado nos blocos abaixo. 
Bloco 093 – Informações referenciadas a NF-e ( Nota Fiscal Eletrônica )
Bloco 094 – Informações referenciadas a NF modelo 1 e 1A
Bloco 095 – Informações referenciadas a Produtor Rural
Bloco 096 – Informações referenciadas a CT-e ( Conhecimento de Transporte Eletrônico )
Bloco 097 – Informações referenciadas a Cupom Fiscal</t>
  </si>
  <si>
    <t>Bloco-089 - Reservado para futuras implementações</t>
  </si>
  <si>
    <t>Informe com "089"</t>
  </si>
  <si>
    <t>Bloco-090 - Lista de Distrib. Doctos XML-NF-e, XML-Autoriz-Sefaz e DANFE-PDF</t>
  </si>
  <si>
    <t>Informe com "090"</t>
  </si>
  <si>
    <t>Envia-XML-NF-e</t>
  </si>
  <si>
    <t>Informe  "S" para enviar e "N" não enviar XML-NF-e</t>
  </si>
  <si>
    <t>Envia-XML-Autorização-Sefaz</t>
  </si>
  <si>
    <t>Informe  "S" para enviar e "N" não enviar XML-Autoriz-Sefaz</t>
  </si>
  <si>
    <t>Envia-PDF-DANFE</t>
  </si>
  <si>
    <t>Informe  "S" para enviar e "N" não enviar PDF-DANFE</t>
  </si>
  <si>
    <t>E-Mail-Destinatario-01</t>
  </si>
  <si>
    <t>Informe o endereço do e-mail do destinatario</t>
  </si>
  <si>
    <t>E-Mail-Destinatario-02</t>
  </si>
  <si>
    <t>E-Mail-Destinatario-03</t>
  </si>
  <si>
    <t>E-Mail-Destinatario-04</t>
  </si>
  <si>
    <t>E-Mail-Destinatario-05</t>
  </si>
  <si>
    <t>E-Mail-Destinatario-06</t>
  </si>
  <si>
    <t>Bloco-091 - Informações ANFAVEA Montadoras =&gt; TAG  infCpl  SEFAZ</t>
  </si>
  <si>
    <t>Informe com "091"</t>
  </si>
  <si>
    <t>Informe IAF</t>
  </si>
  <si>
    <t>Versão do documento</t>
  </si>
  <si>
    <t>Informe 00=Layout Padrão, 01=Layout Fiat, 02=Layout Ford</t>
  </si>
  <si>
    <t>Código interno do transmissor</t>
  </si>
  <si>
    <t>Nome do transmissor</t>
  </si>
  <si>
    <t>Código interno do receptor</t>
  </si>
  <si>
    <t>Nome do receptor</t>
  </si>
  <si>
    <t>Espécie da NF</t>
  </si>
  <si>
    <t>Código da fábrica de entrega</t>
  </si>
  <si>
    <t>Data previsão de entrega</t>
  </si>
  <si>
    <t>Número da Invoice</t>
  </si>
  <si>
    <t>Segmento NF2 do RND 004v21 Aviso de Embarque</t>
  </si>
  <si>
    <t>Bloco-092 - Informações Adicionais para impressão na DANFE</t>
  </si>
  <si>
    <t>Informe com "092"</t>
  </si>
  <si>
    <t>Sequencial da Informação</t>
  </si>
  <si>
    <t>Limite de 2 Ocorrencias de 590 caracteres que totaliza 1.180 caracteres</t>
  </si>
  <si>
    <t>Informações Adicionais para Impressão na DANFE</t>
  </si>
  <si>
    <t>Bloco-093 - Nota referenciada NF-e</t>
  </si>
  <si>
    <t>Informe com "093"</t>
  </si>
  <si>
    <t>Chave de Acesso da DANFE - NF-e Referenciada</t>
  </si>
  <si>
    <t>29x.2</t>
  </si>
  <si>
    <r>
      <t xml:space="preserve">Referencia uma NF-e (modelo 55) emitida anteriormente, vinculada a NF-e atual, </t>
    </r>
    <r>
      <rPr>
        <b/>
        <sz val="10"/>
        <color rgb="FF0070C0"/>
        <rFont val="Arial"/>
        <family val="2"/>
      </rPr>
      <t>ou uma NFC-e (modelo 65),</t>
    </r>
  </si>
  <si>
    <t>Bloco-094 - Informação da NF modelo 1/1A ou NF modelo 2 referenciada</t>
  </si>
  <si>
    <t>Informe com "094"</t>
  </si>
  <si>
    <t>Código da UF do Emitente do documento fiscal</t>
  </si>
  <si>
    <t>29x.4</t>
  </si>
  <si>
    <t xml:space="preserve">Estes campos são utilizado para Notas Fiscais não Eletronicas </t>
  </si>
  <si>
    <t>Ano e mês da emissão da NF</t>
  </si>
  <si>
    <t>29x.5</t>
  </si>
  <si>
    <t>AAMM</t>
  </si>
  <si>
    <t>CNPJ do Emitente</t>
  </si>
  <si>
    <t>29x.6</t>
  </si>
  <si>
    <t>Modelo do Documento Fiscal</t>
  </si>
  <si>
    <t>29x.7</t>
  </si>
  <si>
    <t>01=modelo 01 
02=modelo 02</t>
  </si>
  <si>
    <t>Série do documento fiscal</t>
  </si>
  <si>
    <t>29x.8</t>
  </si>
  <si>
    <t>Número do documento fiscal</t>
  </si>
  <si>
    <t>29x.9</t>
  </si>
  <si>
    <t>Bloco-095 - Informações nota referenciada Produtor Rural</t>
  </si>
  <si>
    <t>Informe com "095"</t>
  </si>
  <si>
    <t>Codigo da UF do Emitente do Documento Fiscal</t>
  </si>
  <si>
    <t>29x.11</t>
  </si>
  <si>
    <t>Utilizar a tabela do IBGE - Tabela de UF</t>
  </si>
  <si>
    <t>Ano e Mês de Emissão da NF-e</t>
  </si>
  <si>
    <t>29x.12</t>
  </si>
  <si>
    <t>29x.13</t>
  </si>
  <si>
    <t>CPF do Emitente</t>
  </si>
  <si>
    <t>29x.14</t>
  </si>
  <si>
    <t>IE do Emitente</t>
  </si>
  <si>
    <t>29x.15</t>
  </si>
  <si>
    <t>Inscrição Estadual do Emitente</t>
  </si>
  <si>
    <t>Modelo da NF</t>
  </si>
  <si>
    <t>29x.16</t>
  </si>
  <si>
    <t>Informe codigo 04 ára NF e 01 para NF avulsa</t>
  </si>
  <si>
    <t>Serie do Documento Fiscal</t>
  </si>
  <si>
    <t>29x.17</t>
  </si>
  <si>
    <t>Informe Serie do documento fiscal e zeros "000" quando a Serie for igual a Spaces</t>
  </si>
  <si>
    <t>Numero do Documento Fiscal</t>
  </si>
  <si>
    <t>29x.18</t>
  </si>
  <si>
    <t>Informe de 000000001 a 999999999</t>
  </si>
  <si>
    <t>Bloco-096 - Informações nota referenciada CT-e</t>
  </si>
  <si>
    <t>Informe com "096"</t>
  </si>
  <si>
    <t>Chave de Acesso do CT-e</t>
  </si>
  <si>
    <t>29x.19</t>
  </si>
  <si>
    <t>Informe a Chave do CT-e emitido anteriormente, vinculada a NF-e Atual</t>
  </si>
  <si>
    <t>Bloco-097 - Informações nota referenciada Cupom Fiscal</t>
  </si>
  <si>
    <t>Informe com "097"</t>
  </si>
  <si>
    <t>29x.21</t>
  </si>
  <si>
    <t>Informe codigo
"2B" para Cupom Fiscal não ECF)
"2C" para Cupom Fiscal PDV
"2D' para Cupom Fiscal por ECF</t>
  </si>
  <si>
    <t>Numero de Ordem Sequencial do ECF</t>
  </si>
  <si>
    <t>29x.22</t>
  </si>
  <si>
    <t>Informar o Numero Sequencial do ECF</t>
  </si>
  <si>
    <t>Numero do Contador de Ordem de Operação - COO</t>
  </si>
  <si>
    <t>29x.23</t>
  </si>
  <si>
    <t>Informar o Contador do COO</t>
  </si>
  <si>
    <t>Bloco-098 - Grupo de observações de uso livre (para o item da NF-e)</t>
  </si>
  <si>
    <t>Informe com "098"</t>
  </si>
  <si>
    <t>Identificação do campo</t>
  </si>
  <si>
    <t>VA02</t>
  </si>
  <si>
    <t>Conteúdo do campo</t>
  </si>
  <si>
    <t>Bloco-099 - Grupo de observações de uso livre do Fisco para o item da NF-e.</t>
  </si>
  <si>
    <t>Informe com "099"</t>
  </si>
  <si>
    <t>VA05</t>
  </si>
  <si>
    <t>Bloco 100 a 999 Reservado para futura implementações</t>
  </si>
  <si>
    <t>Registro para Trailer Final</t>
  </si>
  <si>
    <t>Fixo "999999"</t>
  </si>
  <si>
    <t>Igual o conteúdo Header</t>
  </si>
  <si>
    <t>Total-Registro</t>
  </si>
  <si>
    <t>Informar o valor do ultimo registro de dados</t>
  </si>
  <si>
    <t>Total-NF</t>
  </si>
  <si>
    <t>Informar a quantidade de NF geradas
Limite 50 NF's</t>
  </si>
  <si>
    <t>Legenda</t>
  </si>
  <si>
    <t>NA =&gt; Não se aplica no #XML</t>
  </si>
  <si>
    <t>N =&gt; Numérico</t>
  </si>
  <si>
    <t>C =&gt; Caracter</t>
  </si>
  <si>
    <t>D =&gt; Data</t>
  </si>
  <si>
    <t>Projeto NF-e Onda 2.00</t>
  </si>
  <si>
    <t>Analise do CST para definir preenchimento do ICMS e ICMS-ST</t>
  </si>
  <si>
    <t>CST</t>
  </si>
  <si>
    <t>orig</t>
  </si>
  <si>
    <t>modBC</t>
  </si>
  <si>
    <t>vBC</t>
  </si>
  <si>
    <t>pRedBC</t>
  </si>
  <si>
    <t>pICMS</t>
  </si>
  <si>
    <t>vICMS</t>
  </si>
  <si>
    <t>modBCST</t>
  </si>
  <si>
    <t>pMVAST</t>
  </si>
  <si>
    <t>pRedBCST</t>
  </si>
  <si>
    <t>vBCST</t>
  </si>
  <si>
    <t>pICMSST</t>
  </si>
  <si>
    <t>vICMSST</t>
  </si>
  <si>
    <t>motDesICMS</t>
  </si>
  <si>
    <t>vBCSTRet</t>
  </si>
  <si>
    <t>vICMSSTRet</t>
  </si>
  <si>
    <t>vICMSDeson</t>
  </si>
  <si>
    <t>vICMSOp</t>
  </si>
  <si>
    <t>pDif</t>
  </si>
  <si>
    <t>vICMSDif</t>
  </si>
  <si>
    <t>pST</t>
  </si>
  <si>
    <t>vBCFCP</t>
  </si>
  <si>
    <t>pFCP</t>
  </si>
  <si>
    <t>vFCP</t>
  </si>
  <si>
    <t>vBCFCPST</t>
  </si>
  <si>
    <t>pFCPST</t>
  </si>
  <si>
    <t>vFCPST</t>
  </si>
  <si>
    <t>vBCFCPSTRet</t>
  </si>
  <si>
    <t>pFCPSTRet</t>
  </si>
  <si>
    <t>vFCPSTRet</t>
  </si>
  <si>
    <t>pRedBCEfet</t>
  </si>
  <si>
    <t>vBCEfet</t>
  </si>
  <si>
    <t>pICMSEfet</t>
  </si>
  <si>
    <t>vICMSEfet</t>
  </si>
  <si>
    <t>00</t>
  </si>
  <si>
    <t>X</t>
  </si>
  <si>
    <t>xx</t>
  </si>
  <si>
    <t>10</t>
  </si>
  <si>
    <t>XX</t>
  </si>
  <si>
    <t>20</t>
  </si>
  <si>
    <t>30</t>
  </si>
  <si>
    <t>40,41,50</t>
  </si>
  <si>
    <t>51</t>
  </si>
  <si>
    <t>60</t>
  </si>
  <si>
    <t>70</t>
  </si>
  <si>
    <t>90</t>
  </si>
  <si>
    <t>Campo Obrigatorio</t>
  </si>
  <si>
    <t>Campo Opcional e Não Dependente</t>
  </si>
  <si>
    <t>Campo Opcional porem condicional ( vICMS &lt;=&gt; motDesICMS )</t>
  </si>
  <si>
    <t>Campo XML</t>
  </si>
  <si>
    <t>Descrição do Campo</t>
  </si>
  <si>
    <t>Preenchimento</t>
  </si>
  <si>
    <t>0 - Nacional
1 - Estrangeira Importação Direta
2 - Estrangeira Adquirida no Mercado Interno</t>
  </si>
  <si>
    <t>Codigo Tributação do ICMS</t>
  </si>
  <si>
    <t>00 - Tributada Integralmente
10 - Tributada e com cobrança do ICMS por Substituição Tributaria
20 - Tributada com redução de Base de Cálculo
30 - Isenta ou Não Tributada e com cobrança do ICMS por Substituição Tributaria
40 - Isenta
41 - Não Tributada
50 - Suspensão
51 - Diferimento
60 - Tributação do ICMS cobrado anteriormente por Substituição Tributaria
70 - Tributação do ICMS com redução de Base de Cálculo e cobrança do ICMS por Substituição Tributaria
90 - Tributação do ICMS Outros</t>
  </si>
  <si>
    <t>Modalidade de determinação da Base de Cáclulo do ICMS</t>
  </si>
  <si>
    <t>0 - Margem Valor Agregado (%)
1 - Pauta (Valor)
2 - Preço Tabelado Máximo (Valor)
3 - Valor da Operação</t>
  </si>
  <si>
    <t>Valor da Base de Cálculo do ICMS</t>
  </si>
  <si>
    <t>Percentual de Redução da Base de Cálculo do ICMS</t>
  </si>
  <si>
    <t>Alíquota do Imposto ICMS</t>
  </si>
  <si>
    <t>Valor do ICMS</t>
  </si>
  <si>
    <t>Modalidade de determinação da Base de Cáclulo do ICMS ST</t>
  </si>
  <si>
    <t>Sugerido:
1 - Lista Negativa (valor)
2 - Lista Positiva (valor)
3 - Lista Neutra (valor)
4 - Margem Valor Agregado (%)
5 Pauta (valor)</t>
  </si>
  <si>
    <t>Percentual da Margem de Valor Adicional do ICMS ST</t>
  </si>
  <si>
    <t>Percentual de Redução da Base de Cálculo do ICMS ST</t>
  </si>
  <si>
    <t>Valor da Base de Cálculo do ICMS ST</t>
  </si>
  <si>
    <t>Alíquota do Imposto ICMS ST</t>
  </si>
  <si>
    <t>motDescICMS</t>
  </si>
  <si>
    <r>
      <t xml:space="preserve">Este campo é preenchido quando o campo </t>
    </r>
    <r>
      <rPr>
        <sz val="11"/>
        <color rgb="FFFF0000"/>
        <rFont val="Calibri"/>
        <family val="2"/>
        <scheme val="minor"/>
      </rPr>
      <t>vICMS</t>
    </r>
    <r>
      <rPr>
        <sz val="10"/>
        <rFont val="Arial"/>
        <family val="2"/>
      </rPr>
      <t xml:space="preserve"> estiver preenchido.
1 - Táxi
2 - Deficiente Fisico
3 - Produtor Agropecuário
4 - Frotista / Locadora
5 - Diplomático / Consular
6 - Utilitarios e Motociclistas da AM Ocidental e Áreas de Livre Comércio
8=Venda a Órgão Público;
9=Outros. (NT 2011/004);
10=Deficiente Condutor (Convênio ICMS 38/12);
11=Deficiente Não Condutor (Convênio ICMS 38/12).
12=Órgão de fomento e desenvolvimento agropecuário.
16=Olimpíadas Rio 2016 (NT 2015.002);
Revogada a partir da versão 3.01 a possibilidade de usar o motivo 2=Deficiente Físico</t>
    </r>
  </si>
  <si>
    <t>Valor da Base de Cálculo do ICMS ST Retido</t>
  </si>
  <si>
    <t>Valor da Base de Cálculo do ICMS ST cobrado anteriormente por ST (v2.0)</t>
  </si>
  <si>
    <t>Valor do ICMS ST Retido</t>
  </si>
  <si>
    <t>Valor do ICMS ST cobrado anteriormente por ST (v2.0)</t>
  </si>
  <si>
    <t>Informar apenas nas operações:
a) com produtos beneficiados com a desoneração condicional do ICMS.
b) destinadas à SUFRAMA, informando-se o valor que seria devido se não houvesse isenção.
c) de venda a órgão da administração pública direta e suas fundações e autarquias com isenção do ICMS. (NT 2011/004)</t>
  </si>
  <si>
    <t>Percentual do diferimento</t>
  </si>
  <si>
    <t>No caso de diferimento total, informar o percentual de diferimento "100".</t>
  </si>
  <si>
    <t>Valor do ICMS diferido</t>
  </si>
  <si>
    <t>Percentual relativo ao Fundo de Combate à Pobreza (FCP).</t>
  </si>
  <si>
    <t>Valor do ICMS relativo ao Fundo de Combate à Pobreza (FCP)</t>
  </si>
  <si>
    <t>Valor da Base de Cálculo do FCP retido anteriormente por ST</t>
  </si>
  <si>
    <t>Regra</t>
  </si>
  <si>
    <t>1</t>
  </si>
  <si>
    <t>0 ou 1 ou 2</t>
  </si>
  <si>
    <t>40 ou 41 ou 50</t>
  </si>
  <si>
    <r>
      <t xml:space="preserve">Sistema Signature não vai gerar as TAG's </t>
    </r>
    <r>
      <rPr>
        <sz val="11"/>
        <color rgb="FFFF0000"/>
        <rFont val="Calibri"/>
        <family val="2"/>
        <scheme val="minor"/>
      </rPr>
      <t>VICMS e motDesICMS</t>
    </r>
  </si>
  <si>
    <t>1 a 7 e 9</t>
  </si>
  <si>
    <r>
      <t xml:space="preserve">Sistema Signature gera as TAG's </t>
    </r>
    <r>
      <rPr>
        <sz val="11"/>
        <color rgb="FFFF0000"/>
        <rFont val="Calibri"/>
        <family val="2"/>
        <scheme val="minor"/>
      </rPr>
      <t>VICMS e motDesICMS</t>
    </r>
  </si>
  <si>
    <t>3</t>
  </si>
  <si>
    <t>Maior 0,00</t>
  </si>
  <si>
    <t>Erro - Operação Invalida pelo Signature</t>
  </si>
  <si>
    <r>
      <t xml:space="preserve">Este campo é preenchido quando o campo </t>
    </r>
    <r>
      <rPr>
        <sz val="11"/>
        <color rgb="FFFF0000"/>
        <rFont val="Calibri"/>
        <family val="2"/>
        <scheme val="minor"/>
      </rPr>
      <t>vICMS</t>
    </r>
    <r>
      <rPr>
        <sz val="10"/>
        <rFont val="Arial"/>
        <family val="2"/>
      </rPr>
      <t xml:space="preserve"> estiver preenchido.
1 - Táxi
2 - Deficiente Fisico
3 - Produtor Agropecuário
4 - Frotista / Locadora
5 - Diplomático / Consular
6 - Utilitarios e Motociclistas da AM Ocidental e Áreas de Livre Comércio
7 - SUFRAMA
9 - Outros (v2.0)</t>
    </r>
  </si>
  <si>
    <t>Definição do Layout para Interface da Nota Fiscal Eletrônica - Recebimento - Versão XML 3.10</t>
  </si>
  <si>
    <t>Fixo = "002" - Para XML 1.07 / 1.10 / 2.00/3.10</t>
  </si>
  <si>
    <t>Sequencial-NF</t>
  </si>
  <si>
    <t>000000001 a 999999999 =&gt; Faixa numérica DANFE</t>
  </si>
  <si>
    <t xml:space="preserve">0 = Gerar NF-e
1 = Cancelamento da NF-e
2 = Inutilização da NF-e </t>
  </si>
  <si>
    <t>Código do status da resposta</t>
  </si>
  <si>
    <t>Código do status de retorno do SEFAZ</t>
  </si>
  <si>
    <t>Motivo do status</t>
  </si>
  <si>
    <t>Descrição do código de retorno do SEFAZ</t>
  </si>
  <si>
    <t>CNPJ-Destinatário-NF</t>
  </si>
  <si>
    <t>Codigo-Plataforma-Destino</t>
  </si>
  <si>
    <t>001 - Mainframe Fiasa / Iveco / FPT
002 - SAP Fiasa
003 - SAP Iveco
004 - SAP FPT
005 - SAP Grupo CNH
006 - SAP Grupo Marelli
007 - SAP Comau
008 - SAP Teksid
009 - e-Comex
010 - AS400 Marelli/Cofap
011 - AS400 Marelli
012 - Unisys Teksid
013 - RM Sistemas
014 - Protheus Iveco L.A.
015 - Iveco/CS</t>
  </si>
  <si>
    <t>Codigo-Conector</t>
  </si>
  <si>
    <t>001 - MQSeries
002 - Connect Direct
003 - IDOC SAP
004 - NetWeaver
005 - FTP
006 - Tema Spazio
007 - Wrapper com MQSeries</t>
  </si>
  <si>
    <t>Controle-Sistema-Destino</t>
  </si>
  <si>
    <t>Qualquer informação do Sistema de Destino
Exemplo: Codigo-ID-SAP,  Codigo-ID-eComex</t>
  </si>
  <si>
    <t>Identificação do Ambiente SEFAZ</t>
  </si>
  <si>
    <t>0 = Pagamento a Vista / 1 = Pagamento a Prazo / 2 = Outros</t>
  </si>
  <si>
    <t xml:space="preserve">
55=NF-e emitida em substituição ao modelo 1 ou 1A
65=NFC-e, utilizada nas operações de venda no varejo (a critério da UF aceitar este modelo de documento).</t>
  </si>
  <si>
    <t>Exlcuido e substituido  pelo campo 040, enviar spaces</t>
  </si>
  <si>
    <t>Exlcuido e substituido pelo campo 041enviar spaces</t>
  </si>
  <si>
    <t>Forma da Emissão da NF-e</t>
  </si>
  <si>
    <t>1 = Normal NF-e - Emissão Nomal.
2 = Contingência FS - Emissão em contingência com Impressão do DANFE em Formulário de Segurança.
3 - Contingência SCAN - Emissão em contingência no Sistema de Contingência do Ambiente Nacional - SCAN.
4 - Contingência DPEC - Emissão em contingência com envio da Declaração Prévia de Emissão em Contingência - DPEC.
5 - Contingência FS-DA - Emissão em contingência com impressão do DANFE em Formulário de Segurança para Impressão de Documento Auxiliar de Documento Fiscal Eletrônico (FS-DA).</t>
  </si>
  <si>
    <t>1 = NF-e Normal / 2 = NF-e Complementar / 3 = NF-e Ajuste</t>
  </si>
  <si>
    <t>AAAA-MM-DDTHH:MM:SS</t>
  </si>
  <si>
    <t>Data e hora no formato UTC (Universal Coordinated Time) Esse campo deve ser informado pelo sistema de origem no formato correto</t>
  </si>
  <si>
    <t>Identificador de local de destino da operação</t>
  </si>
  <si>
    <t>1= Operação Interna
2= Operação Interestadual
3= Operação com exterior</t>
  </si>
  <si>
    <t>0= Não
1= Consumidor Final</t>
  </si>
  <si>
    <t>Indicador de Presença do comprador no estabelcimento comercial no momento da operação</t>
  </si>
  <si>
    <t>0 = Não se aplica (por exemplo, Nota Fiscal Complementar ou de ajuste)
1 = Operação Presencial
2 = Operação não presencial, pela Internet
3 = Operação não presencial, Teleatendimento
4 = NFC-e em operação com entrega a domicilio
9 = Operação não presencial, outros</t>
  </si>
  <si>
    <t>Código de Fábrica de Destino</t>
  </si>
  <si>
    <t>Códificação informada pelo destinatário para identificação dos seus estabelecimentos.</t>
  </si>
  <si>
    <t>Informar o CNPJ ou CPF do destinatario, preenchendo os zeros não significativos. No caso de operação com exterior, ou para comprador estrangeiro informar a TAG "idEstrangeiro", com o número do passaporte ou outro documento legal para idendtificar pessoa estrangeira (este campo aceita valor Nulo)</t>
  </si>
  <si>
    <t>1 = Contribuinte ICMS (informar a IE do destinatario)
2 = Contribuinte isento de inscrição no cadastro de contribuintes de ICMS
9 = Não contribuinte, que pode ou não possuir Inscrição Estadual no cadastro de Contribuinte de ICMS
Nota 1: Nocaso de NFC-e informar indIEDest=9 e não informar a TAG IE do destinatario
Nota 2 : No caso de operação com exterior informar indIEDest=9  e não informar a TAG IE do destinatario
Nota 3 : No caso de contribuinte Isento de Inscrição (indIEDest=2), não informar a tag IE do destinatario</t>
  </si>
  <si>
    <t>CEAN</t>
  </si>
  <si>
    <t>Preencher de acordo com a Tabela de Capitulos da NCM</t>
  </si>
  <si>
    <t>Informar a quantidade de Tributação do produto.
Alteração do tamnho do campo de 12 para 15
A parte decimal pode ser utilizada para precisão desejada de 0 a 4 decimais</t>
  </si>
  <si>
    <t>Informar o Vaor Unitário de tributação do produto.
Alteração do tamnho do campo de 16 para 21
A parte decimal pode ser utilizada para precisão desejada de 0 a 10 decimais</t>
  </si>
  <si>
    <t>Informar a quantidade comercial do produto.
Alteração do tamnho do campo de 12 para 15
A parte decimal pode ser utilizada para precisão desejada de 0 a 4 decimais</t>
  </si>
  <si>
    <t>Informar o Vaor Unitário de comercialização do produto.
Alteração do tamnho do campo de 16 para 21
A parte decimal pode ser utilizada para precisão desejada de 0 a 10 decimais</t>
  </si>
  <si>
    <t>Codificação que detalha alguns NCM.
Formato: duas letras maiusculas e 4 algarismos.</t>
  </si>
  <si>
    <t>Número Seqüencial do Item dentro da Adição</t>
  </si>
  <si>
    <t>CMKG</t>
  </si>
  <si>
    <t>BC da CIDE</t>
  </si>
  <si>
    <t>Valor CIDE</t>
  </si>
  <si>
    <t>Este campo deve ser informado se o campo Valor do ICMS Desonerado estiver preenchido.
Informe um dos valores abaixo:
1 - Táxi
3 - Uso na Agropecuária
4 - Frotista/Locadora
5 - Diplomatico/Consular
6 - Utilitários e Motocicletas da Amazonia Ocidental e Areas de Livre Comercio (Resolução 714/88 e 790/94 CONTTRAN e suas alterações
7 - SUFRAMA
8 - Venda a Orgao Publico
9 - Outros
10 - Deficiente Condutor (Convenio ICMS 38/12)
11 - Deficiente Não Condutor (Convenio ICMS 38/12)
12 - Orgao de fomento e desenvolvimento agorpecuario</t>
  </si>
  <si>
    <t>192.2
202.1
204.01
231.2
245.2</t>
  </si>
  <si>
    <t>No caso de diferimento total, informar o percentual de diferimento "100"</t>
  </si>
  <si>
    <r>
      <t xml:space="preserve">Informe com:
01 - Operação Tributavel (Base de Cálculo = Valor da Operação Mormal (Cumulativo/Não Cumulativo))
02 - Operação Tributavel (Base de Cálculo = Valor da Operação (Aliqota Diferenciada))
03 - Operação Tributavel (Base de Cálculo = Quantidade Vendida x Aliquota por Unidade de Produto)
04 - Operação Tributavel (Tributação Monofásica (Aliquota zero))
</t>
    </r>
    <r>
      <rPr>
        <b/>
        <u/>
        <sz val="10"/>
        <color rgb="FFFF0000"/>
        <rFont val="Arial"/>
        <family val="2"/>
      </rPr>
      <t>05 - Operação Tributavel (Substituição Tributária)</t>
    </r>
    <r>
      <rPr>
        <b/>
        <sz val="10"/>
        <color theme="1"/>
        <rFont val="Arial"/>
        <family val="2"/>
      </rPr>
      <t xml:space="preserve">
06 - Operação Tributavel (Aliquota zero)
07 - Operação Tributavel (Operação Isenta da Contribuição)
08 - Operação Tributavel (Operação sem Incidencia da Contribuição)
09 - Operação Tributavel (Operação com Suspensão da Contribuição)
99 - Outras Operações</t>
    </r>
  </si>
  <si>
    <t>276
285
291</t>
  </si>
  <si>
    <r>
      <t xml:space="preserve">01 = Operação Tributavel BC Vl Operação Aliquota Normal
02 = Operação Tributavel BC Vl Operação Aliquota Diferenciada
03 = Operação Tributavel BC Qdte Vendida x Aliquota por Unidade Produto
04 = Operação Tributavel Monofasico Aliquota Zero
</t>
    </r>
    <r>
      <rPr>
        <b/>
        <sz val="10"/>
        <color rgb="FFFF0000"/>
        <rFont val="Arial"/>
        <family val="2"/>
      </rPr>
      <t>05 = Operação Tributavel (substituição tributária)</t>
    </r>
    <r>
      <rPr>
        <b/>
        <sz val="10"/>
        <color theme="1"/>
        <rFont val="Arial"/>
        <family val="2"/>
      </rPr>
      <t xml:space="preserve">
06 = Operação Tributavel Aliquota Zero
07 = Operação Isenta
08 = Operação sem Incidência
09 = Operação com Suspensão
99 = Outras Operações</t>
    </r>
  </si>
  <si>
    <t>Informar o item da Lista de Serviços da LC 116/03 em que Classifica o Serviço</t>
  </si>
  <si>
    <t>Código de Tributação do ISSQN</t>
  </si>
  <si>
    <t>Informar o código da Tributação do ISSQN:
N - Normal
R - Retida
S - Substituta
I - Isenta
A partir da 3.1 o campo foi excluido do bloco de ISS e adicionado ao novo bloco de Tributos Devolvidos</t>
  </si>
  <si>
    <t>Bloco 037 ICMS ST com CST = 41</t>
  </si>
  <si>
    <t>41 = Não Tributada</t>
  </si>
  <si>
    <t xml:space="preserve">245,46
245,63
</t>
  </si>
  <si>
    <t>245,46
245,65</t>
  </si>
  <si>
    <t>245,27
245,36
245,66</t>
  </si>
  <si>
    <t>245,28
245,37
245,67</t>
  </si>
  <si>
    <t>Bloco 042 a 049 Reservado para futuras implementações</t>
  </si>
  <si>
    <t>Valor retenção INSS</t>
  </si>
  <si>
    <t>Valor retenção IR</t>
  </si>
  <si>
    <t>Valor retenção CSLL</t>
  </si>
  <si>
    <t>347h</t>
  </si>
  <si>
    <t>Indicador de ISS retido</t>
  </si>
  <si>
    <t>347I</t>
  </si>
  <si>
    <t>1 = Sim; 2= Não</t>
  </si>
  <si>
    <t>347j</t>
  </si>
  <si>
    <t>Código do serviço prestado dentro do municipio</t>
  </si>
  <si>
    <t>347k</t>
  </si>
  <si>
    <t>Código do municipio de incidencia do imposto</t>
  </si>
  <si>
    <t>347l</t>
  </si>
  <si>
    <t>Tabela do IBGE
Informar "9999999" para serviço fora do pais</t>
  </si>
  <si>
    <t>Código do país onde o serviço foi prestado</t>
  </si>
  <si>
    <t>347m</t>
  </si>
  <si>
    <t>Tabela BACEN. Informar somente se o municipio da prestação do serviço for "9999999"</t>
  </si>
  <si>
    <t>347n</t>
  </si>
  <si>
    <t>Informar somente quando declarada a suspensão da exigibilidade do ISSQN</t>
  </si>
  <si>
    <t>Codigo do Regime Especial de Tributação</t>
  </si>
  <si>
    <t>347o</t>
  </si>
  <si>
    <t>1= Microempresa Municipal
2=Estimativa
3=Sociedade de profissionais
4=Cooperativa
5=Microempresario Individual (MEI)
6=Microempresario e Empresa de Pequena Porte (ME/EPP)</t>
  </si>
  <si>
    <t>Indicador de Incentivo Fiscal</t>
  </si>
  <si>
    <t>347p</t>
  </si>
  <si>
    <t>0 = Por conta do Emitente
1 = Por conta do Destinatário/Remetente
2 = Por conta de Terceiros
9 = Sem Frete</t>
  </si>
  <si>
    <t>Pedido de Compras</t>
  </si>
  <si>
    <t>Informe com "072"</t>
  </si>
  <si>
    <t>01=Dinheiro
02=Cheque
03=Cartão de Credito
04=Cartao de Debito
05=Credito Loja
10=Vale alimentação
11=Vale refeição
12=Vale presente
13=Vale combustivel
99=Outros</t>
  </si>
  <si>
    <t xml:space="preserve">CNPJ  </t>
  </si>
  <si>
    <t>Informar o CNPJ da Credenciadora de cartao de credito/debito</t>
  </si>
  <si>
    <t>01=Visa
02=Mastercard
03=American Express
04=Sorocred
99= Outros</t>
  </si>
  <si>
    <t>Bloco 073 a 079 Reservado para futuras implementações</t>
  </si>
  <si>
    <t>Bloco 089 foi eliminado e desmembrado nos blocos abaixo a partir da versão 2.00
Bloco 093 – Informações referenciadas a NF-e ( Nota Fiscal Eletrônica )
Bloco 094 – Informações referenciadas a NF modelo 1 e 1A
Bloco 095 – Informações referenciadas a Produtor Rural
Bloco 096 – Informações referenciadas a CT-e ( Conhecimento de Transporte Eletrônico )
Bloco 097 – Informações referenciadas a Cupom Fiscal</t>
  </si>
  <si>
    <t>Bloco-089 - Informações referenciada a NF e NF-e</t>
  </si>
  <si>
    <t>Somente para NF-e (Chave da DANGE)</t>
  </si>
  <si>
    <t>Estes campos são utilizado para Notas Fiscais não Eletronicas - Vide Manual SEFAZ Versão 2.02 TAG 16a, 17 e 18</t>
  </si>
  <si>
    <t>Grupo de Informações da NF de Produtor Rural Referenciada</t>
  </si>
  <si>
    <t>24a</t>
  </si>
  <si>
    <t>Redefinição</t>
  </si>
  <si>
    <t>24b</t>
  </si>
  <si>
    <t>24c</t>
  </si>
  <si>
    <t>24d</t>
  </si>
  <si>
    <t>24e</t>
  </si>
  <si>
    <t>24f</t>
  </si>
  <si>
    <t>24g</t>
  </si>
  <si>
    <t>24h</t>
  </si>
  <si>
    <t>24i</t>
  </si>
  <si>
    <t>Grupo de Informações do Cupom Fiscal Referenciado</t>
  </si>
  <si>
    <t>24j</t>
  </si>
  <si>
    <t>24k</t>
  </si>
  <si>
    <t>24l</t>
  </si>
  <si>
    <t>24m</t>
  </si>
  <si>
    <t>Bloco-094 - Informações nota referenciada modelo 1/1A</t>
  </si>
  <si>
    <t>Bloco 098 a 999 Reservado para futura implementações</t>
  </si>
  <si>
    <t>Resumo da lógica Anfavea</t>
  </si>
  <si>
    <t>Bloco</t>
  </si>
  <si>
    <t>FORD</t>
  </si>
  <si>
    <t>FIAT/IVECO</t>
  </si>
  <si>
    <t>OUTROS</t>
  </si>
  <si>
    <t>Texto com observações do item</t>
  </si>
  <si>
    <t>IAP01 + Texto com observações do item</t>
  </si>
  <si>
    <t>IAP01</t>
  </si>
  <si>
    <t>Bloco gravado com espaços e zeros respeitando a PIC</t>
  </si>
  <si>
    <t>Bloco não gravado no TXT</t>
  </si>
  <si>
    <t>Texto com observações da NF</t>
  </si>
  <si>
    <t>IAF02</t>
  </si>
  <si>
    <t>IAP01 +  formatação para Ford</t>
  </si>
  <si>
    <t>IAP01 +  formatação para Fiat</t>
  </si>
  <si>
    <t>Bloco com Informações Adicionais para o Fisco</t>
  </si>
  <si>
    <t>IAF01</t>
  </si>
  <si>
    <t>&lt;vBC&gt;0.00&lt;/vBC&gt;</t>
  </si>
  <si>
    <t>&lt;vICMS&gt;0.00&lt;/vICMS&gt;</t>
  </si>
  <si>
    <t>&lt;vICMSDeson&gt;0.00&lt;/vICMSDeson&gt;</t>
  </si>
  <si>
    <t>&lt;vFCPUFDest&gt;0.00&lt;/vFCPUFDest&gt;</t>
  </si>
  <si>
    <t>&lt;vICMSUFDest&gt;0.00&lt;/vICMSUFDest&gt;</t>
  </si>
  <si>
    <t>&lt;vICMSUFRemet&gt;0.00&lt;/vICMSUFRemet&gt;</t>
  </si>
  <si>
    <t>&lt;vFCP&gt;0.00&lt;/vFCP&gt;</t>
  </si>
  <si>
    <t>&lt;vBCST&gt;0.00&lt;/vBCST&gt;</t>
  </si>
  <si>
    <t>&lt;vST&gt;0.00&lt;/vST&gt;</t>
  </si>
  <si>
    <t>&lt;vFCPST&gt;0.00&lt;/vFCPST&gt;</t>
  </si>
  <si>
    <t>&lt;vFCPSTRet&gt;0.00&lt;/vFCPSTRet&gt;</t>
  </si>
  <si>
    <t>&lt;vProd&gt;34115.04&lt;/vProd&gt;</t>
  </si>
  <si>
    <t>&lt;vFrete&gt;0.00&lt;/vFrete&gt;</t>
  </si>
  <si>
    <t>&lt;vSeg&gt;0.00&lt;/vSeg&gt;</t>
  </si>
  <si>
    <t>&lt;vDesc&gt;0.00&lt;/vDesc&gt;</t>
  </si>
  <si>
    <t>&lt;vII&gt;0.00&lt;/vII&gt;</t>
  </si>
  <si>
    <t>&lt;vIPI&gt;0.00&lt;/vIPI&gt;</t>
  </si>
  <si>
    <t>&lt;vIPIDevol&gt;0.00&lt;/vIPIDevol&gt;</t>
  </si>
  <si>
    <t>&lt;vPIS&gt;0.00&lt;/vPIS&gt;</t>
  </si>
  <si>
    <t>&lt;vCOFINS&gt;0.00&lt;/vCOFINS&gt;</t>
  </si>
  <si>
    <t>&lt;vOutro&gt;0.00&lt;/vOutro&gt;</t>
  </si>
  <si>
    <t>&lt;vNF&gt;34115.04&lt;/vNF&gt;</t>
  </si>
  <si>
    <t>&lt;vTotTrib&gt;0.00&lt;/vTotTrib&gt;</t>
  </si>
  <si>
    <t>1 Tipo</t>
  </si>
  <si>
    <t>NUMC</t>
  </si>
  <si>
    <t xml:space="preserve">                                                            </t>
  </si>
  <si>
    <t>Indica se o valor do ICMS desonerado (vICMSDeson) deduz
do valor do item (vProd).</t>
  </si>
  <si>
    <t>O campo só pode ser preenchido com:
0=Valor do ICMS desonerado (vICMSDeson) não deduz do
valor do item (vProd) / total da NF-e.
1=Valor do ICMS desonerado (vICMSDeson) deduz do valor
do item (vProd) / total da NF-e</t>
  </si>
  <si>
    <t>192.4
201.4
204.03
231.4
245.4</t>
  </si>
  <si>
    <t>indDeduzDeson</t>
  </si>
  <si>
    <t>Informe a Quantidade Máxima de Passageiros Sentados, inclusive o Motoristaobser</t>
  </si>
  <si>
    <t>Dump Base Mastersaf</t>
  </si>
  <si>
    <t>Export do delta da base do Mastersaf  (01/10 a 15/10 )</t>
  </si>
  <si>
    <t>Import do delta da base do Mastersaf</t>
  </si>
  <si>
    <t>Export base REINF ( onesource ) - Não tem segragação</t>
  </si>
  <si>
    <t>Import base REINF</t>
  </si>
  <si>
    <t>Go-live com as bases equalizadas..</t>
  </si>
  <si>
    <t>Segragação finalizada</t>
  </si>
  <si>
    <t>Export da base Mastersaf segregada</t>
  </si>
  <si>
    <t>Import base Mastersaf segregada</t>
  </si>
  <si>
    <t xml:space="preserve">Preparar o arquivo para importar no servidor da CNH. </t>
  </si>
  <si>
    <t xml:space="preserve">Deixar somente as empresas da CNH ( 018 e 025 )no banco. </t>
  </si>
  <si>
    <t>Cópia do banco de dados da Stellantis.</t>
  </si>
  <si>
    <t xml:space="preserve">Importar o banco segregado no servidor da CNH. </t>
  </si>
  <si>
    <t>Go-live com as bases equalizadas.</t>
  </si>
  <si>
    <t>Alternativas</t>
  </si>
  <si>
    <t>Impactos</t>
  </si>
  <si>
    <t>Impacto de multas/juros.</t>
  </si>
  <si>
    <t>Impacto não vai ter os dados no servidor da CNH. 
Retificações direto no eCAC ( se necessário )</t>
  </si>
  <si>
    <t>1 - Enviar o REINF no mês subsequente.</t>
  </si>
  <si>
    <t>Export do delta da base do Mastersaf  (06/10 a 21/10)</t>
  </si>
  <si>
    <t>2 - Enviar o REINF sem movimento antes do DUMP do MASTERSAF ( Retifica no mês subsequente ).</t>
  </si>
  <si>
    <t>3 - Enviar o REINF até o dia 05 do mês, antes do DUMP da base.</t>
  </si>
  <si>
    <t>4 - Entrega normal Setembro e a base fica desalinhada.</t>
  </si>
  <si>
    <t>Export da base Mastersaf segregada.</t>
  </si>
  <si>
    <t>Segragação base finalizada.</t>
  </si>
  <si>
    <t>Dump Base Mastersaf.</t>
  </si>
  <si>
    <t>Cadastrar filial WMF.</t>
  </si>
  <si>
    <t>desoneracao</t>
  </si>
  <si>
    <t>260</t>
  </si>
  <si>
    <t>Código do Município de consumo, fato gerador do IBS / CBS</t>
  </si>
  <si>
    <t>B12a</t>
  </si>
  <si>
    <t>Informar o município de ocorrência do fato gerador do fato gerador do IBS / CBS. Campo preenchido somente quando “indPres = 5 (Operação presencial, fora do estabelecimento) ”, e não tiver endereço do destinatário (Grupo: E05) ou local de entrega (Grupo: G01).</t>
  </si>
  <si>
    <t>Tipo de ente governamental</t>
  </si>
  <si>
    <t>1=União
2=Estados
3=Distrito Federal
4=Municípios</t>
  </si>
  <si>
    <t xml:space="preserve">Percentual de redução de aliquota em compra governamental </t>
  </si>
  <si>
    <t>B32</t>
  </si>
  <si>
    <t>3v2-4</t>
  </si>
  <si>
    <t>Conforme Seção XI, Art. 41 PLP 68/2024.</t>
  </si>
  <si>
    <t>Tipo de Nota de Débito</t>
  </si>
  <si>
    <t>B25.1</t>
  </si>
  <si>
    <t>Tipo de Nota de Crédito</t>
  </si>
  <si>
    <t>B25.2</t>
  </si>
  <si>
    <t>Tipo de operação com o ente governamental</t>
  </si>
  <si>
    <t>B34</t>
  </si>
  <si>
    <t>1=Fornecimento
2=Recebimento do pagamento, conforme fato gerador do IBS/CBS
definido no Art. 10 § 2º</t>
  </si>
  <si>
    <t xml:space="preserve">CPF do adquirente ou do encomendante </t>
  </si>
  <si>
    <t>I18</t>
  </si>
  <si>
    <t>Código de Situação Tributária do IBS e CBS</t>
  </si>
  <si>
    <t>324.13</t>
  </si>
  <si>
    <t>Utilizar tabela CST do IBS/CBS</t>
  </si>
  <si>
    <t>Código de Classificação Tributária do IBS e CBS</t>
  </si>
  <si>
    <t>324.14</t>
  </si>
  <si>
    <t>Utilizar tabela cClassTrib</t>
  </si>
  <si>
    <t>324.16</t>
  </si>
  <si>
    <t>13v2</t>
  </si>
  <si>
    <t>Alíquota do IBS de competência das UF</t>
  </si>
  <si>
    <t>324.18</t>
  </si>
  <si>
    <t>Percentual do diferimento UF</t>
  </si>
  <si>
    <t>324.22</t>
  </si>
  <si>
    <t>Valor do Diferimento UF</t>
  </si>
  <si>
    <t>324.23</t>
  </si>
  <si>
    <t>Valor do tributo devolvido UF</t>
  </si>
  <si>
    <t>324.25</t>
  </si>
  <si>
    <t>13v3</t>
  </si>
  <si>
    <t>Valor do tributo devolvido (desconto na própria Nota Fiscal / Fatura)</t>
  </si>
  <si>
    <t>Percentual da redução de alíquota UF</t>
  </si>
  <si>
    <t>324.27</t>
  </si>
  <si>
    <t>324.28</t>
  </si>
  <si>
    <t>Alíquota efetiva, após aplicação da redução de alíquota.</t>
  </si>
  <si>
    <t>Valor do IBS de competência da UF</t>
  </si>
  <si>
    <t>324.35</t>
  </si>
  <si>
    <t>324.37</t>
  </si>
  <si>
    <t>Percentual do diferimento Municipio</t>
  </si>
  <si>
    <t>324.41</t>
  </si>
  <si>
    <t>Valor do Diferimento Municipio</t>
  </si>
  <si>
    <t>324.42</t>
  </si>
  <si>
    <t>Valor do tributo devolvido Municipio</t>
  </si>
  <si>
    <t>324.44</t>
  </si>
  <si>
    <t>Percentual da redução de alíquota Municipio</t>
  </si>
  <si>
    <t>324.46</t>
  </si>
  <si>
    <t>324.47</t>
  </si>
  <si>
    <t>Valor do IBS de competência do Município</t>
  </si>
  <si>
    <t>324.53</t>
  </si>
  <si>
    <t>Valor do IBS</t>
  </si>
  <si>
    <t>324.54</t>
  </si>
  <si>
    <t>Valor do IBS (soma de vIBSUF e vIBSMun). Quando houver crédito presumido com indicador “IndDeduzCredPres=1”, o vCredPres deve serabatido desse valor.</t>
  </si>
  <si>
    <t>324.56</t>
  </si>
  <si>
    <t>Percentual do diferimento CBS</t>
  </si>
  <si>
    <t>324.60</t>
  </si>
  <si>
    <t>Alíquota vigente da CBS.</t>
  </si>
  <si>
    <t>Valor do Diferimento CBS</t>
  </si>
  <si>
    <t>324.61</t>
  </si>
  <si>
    <t>Valor do tributo devolvido CBS</t>
  </si>
  <si>
    <t>324.63</t>
  </si>
  <si>
    <t>Percentual da redução de alíquota CBS</t>
  </si>
  <si>
    <t>324.65</t>
  </si>
  <si>
    <t>324.66</t>
  </si>
  <si>
    <t>Valor da CBS</t>
  </si>
  <si>
    <t>324.67</t>
  </si>
  <si>
    <t>Se grupo gRed preenchido:
vCBS= gRed/pAliqEfet * vBC (UB16)
Senão:
vCBS = pCBS * Vbc</t>
  </si>
  <si>
    <t>Código de Situação Tributária do IBS e CBS - Regular</t>
  </si>
  <si>
    <t>324.69</t>
  </si>
  <si>
    <t>Código de Classificação Tributária do IBS e CBS - Regular</t>
  </si>
  <si>
    <t>324.70</t>
  </si>
  <si>
    <t>324.71</t>
  </si>
  <si>
    <t>Valor do Tributo do IBS da UF</t>
  </si>
  <si>
    <t>324.72</t>
  </si>
  <si>
    <t>324.72a</t>
  </si>
  <si>
    <t>Valor do Tributo do IBS do Município</t>
  </si>
  <si>
    <t>324.72b</t>
  </si>
  <si>
    <t>Valor da alíquota da CBS</t>
  </si>
  <si>
    <t>324.72c</t>
  </si>
  <si>
    <t>Valor do Tributo da CBS</t>
  </si>
  <si>
    <t>324.72d</t>
  </si>
  <si>
    <t>Valor do Crédito Presumido Condição Suspensiva. Preencher apenas para cCredPres com indicação de Condição Suspensiva.</t>
  </si>
  <si>
    <t/>
  </si>
  <si>
    <t>Tipo de classificação de acordo com o art. 450, § 1º, da LC 214/25 para o cálculo do crédito presumido na ZFM</t>
  </si>
  <si>
    <t>Valor do crédito presumido calculado sobre o saldo devedor apurado</t>
  </si>
  <si>
    <t>324.82b</t>
  </si>
  <si>
    <t>Valor que seria devido a UF</t>
  </si>
  <si>
    <t>324.82c</t>
  </si>
  <si>
    <t>Valor que seria devido a UF, sem aplicação do Art. 473. da LC 214/2025</t>
  </si>
  <si>
    <t>324.82d</t>
  </si>
  <si>
    <t>Valor que seria devido ao município</t>
  </si>
  <si>
    <t>324.82e</t>
  </si>
  <si>
    <t>Valor que seria devido ao município, sem aplicação do Art. 473. da LC 214/2025</t>
  </si>
  <si>
    <t>324.82f</t>
  </si>
  <si>
    <t>Valor que seria devido a CBS</t>
  </si>
  <si>
    <t>324.82g</t>
  </si>
  <si>
    <t>Valor que seria devido a CBS, sem aplicação do Art. 473. da LC 214/2025</t>
  </si>
  <si>
    <t>Informe com "043"</t>
  </si>
  <si>
    <t>Informe com "045"</t>
  </si>
  <si>
    <t>Informe com "044"</t>
  </si>
  <si>
    <t>Quantidade tributada na monofasia</t>
  </si>
  <si>
    <t>324.85</t>
  </si>
  <si>
    <t>11v0-4</t>
  </si>
  <si>
    <t>Informar a BC sujeita a retenção em quantidade conforme unidade de medida estabelecida na legislação para o produto.</t>
  </si>
  <si>
    <t>Alíquota ad rem do IBS</t>
  </si>
  <si>
    <t>324.86</t>
  </si>
  <si>
    <t>Alíquota ad rem do CBS</t>
  </si>
  <si>
    <t>324.87</t>
  </si>
  <si>
    <t>Valor do IBS monofásico</t>
  </si>
  <si>
    <t>324.88</t>
  </si>
  <si>
    <t>Valor do IBS com retenção, a ser somado ao valor de IBS a ser recolhido.</t>
  </si>
  <si>
    <t>Valor do CBS monofásico</t>
  </si>
  <si>
    <t>324.89</t>
  </si>
  <si>
    <t>Quantidade tributada sujeita à retenção na monofasia</t>
  </si>
  <si>
    <t>324.91</t>
  </si>
  <si>
    <t>Alíquota ad rem do IBS sujeito a retenção</t>
  </si>
  <si>
    <t>324.92</t>
  </si>
  <si>
    <t>Valor do IBS monofásico sujeito a retenção</t>
  </si>
  <si>
    <t>324.93</t>
  </si>
  <si>
    <t>324.93a</t>
  </si>
  <si>
    <t xml:space="preserve">Valor do CBS monofásico sujeito a retenção </t>
  </si>
  <si>
    <t>324.93b</t>
  </si>
  <si>
    <t>Quantidade tributada retida anteriormente</t>
  </si>
  <si>
    <t>324.95</t>
  </si>
  <si>
    <t>Informar a BC do IBS em quantidade conforme unidade de medida estabelecida na legislação.</t>
  </si>
  <si>
    <t>Alíquota ad rem do IBS retido anteriormente</t>
  </si>
  <si>
    <t>324.96</t>
  </si>
  <si>
    <t>Alíquota ad rem do IBS, estabelecida na legislação para o produto.</t>
  </si>
  <si>
    <t>Valor do IBS retido anteriormente</t>
  </si>
  <si>
    <t>324.97</t>
  </si>
  <si>
    <t>O valor do IBS é obtido pela multiplicação da alíquota ad rem pela quantidade do produto conforme unidade de medida estabelecida na legislação.</t>
  </si>
  <si>
    <t>Alíquota ad rem da CBS retida anteriormente</t>
  </si>
  <si>
    <t>324.98</t>
  </si>
  <si>
    <t>Alíquota ad rem da CBS, estabelecida na legislação para o produto.</t>
  </si>
  <si>
    <t>Valor da CBS retida anteriormente</t>
  </si>
  <si>
    <t>324.99</t>
  </si>
  <si>
    <t>O valor da CBS é obtido pela multiplicação da alíquota ad rem pela quantidade do produto conforme unidade de medida estabelecida na legislação.</t>
  </si>
  <si>
    <t>Percentual do diferimento do imposto monofásico. (IBS)</t>
  </si>
  <si>
    <t>324.100</t>
  </si>
  <si>
    <t>A ser aplicado em vIBSMono.</t>
  </si>
  <si>
    <t>Valor do IBS monofásico diferido.</t>
  </si>
  <si>
    <t>324.101</t>
  </si>
  <si>
    <t>A ser deduzido do valor do IBS.</t>
  </si>
  <si>
    <t>Percentual do diferimento do imposto monofásico. (CBS)</t>
  </si>
  <si>
    <t>324.102</t>
  </si>
  <si>
    <t>A ser aplicado em vCBSMono</t>
  </si>
  <si>
    <t>Valor da CBS Monofásica diferida.</t>
  </si>
  <si>
    <t>324.103</t>
  </si>
  <si>
    <t>A ser deduzido do valor da CBS.</t>
  </si>
  <si>
    <t>Total de IBS Monofásico.</t>
  </si>
  <si>
    <t>324.104</t>
  </si>
  <si>
    <t>Total da CBS Monofásica.</t>
  </si>
  <si>
    <t>324.105</t>
  </si>
  <si>
    <t>Valor do IBS a ser transferido</t>
  </si>
  <si>
    <t>Valor da CBS a ser transferida</t>
  </si>
  <si>
    <t>324.108</t>
  </si>
  <si>
    <t>Informe com "046"</t>
  </si>
  <si>
    <t>Código de Situação Tributária do Imposto Seletivo</t>
  </si>
  <si>
    <t>324.02</t>
  </si>
  <si>
    <t>Utilizar tabela CST do Imposto Seletivo</t>
  </si>
  <si>
    <t>Código de Classificação Tributária do Imposto Seletivo</t>
  </si>
  <si>
    <t>324.03</t>
  </si>
  <si>
    <t>Utilizar tabela cClassTribIS</t>
  </si>
  <si>
    <t>Valor da Base de Cálculo do Imposto Seletivo</t>
  </si>
  <si>
    <t>324.05</t>
  </si>
  <si>
    <t>324.06</t>
  </si>
  <si>
    <t>324.07</t>
  </si>
  <si>
    <t>Unidade de Medida Tributável</t>
  </si>
  <si>
    <t>324.09</t>
  </si>
  <si>
    <t>1-6</t>
  </si>
  <si>
    <t>324.10</t>
  </si>
  <si>
    <t>Valor do Imposto Seletivo</t>
  </si>
  <si>
    <t>324.11</t>
  </si>
  <si>
    <t>Informe com "047"</t>
  </si>
  <si>
    <t>Valor total da BC do IBS e da CBS</t>
  </si>
  <si>
    <t>355.5</t>
  </si>
  <si>
    <t>Valor total do diferimento UF</t>
  </si>
  <si>
    <t>355.8</t>
  </si>
  <si>
    <t>Valor total de devolução de tributos UF</t>
  </si>
  <si>
    <t>355.9</t>
  </si>
  <si>
    <t>Valor total do IBS da UF</t>
  </si>
  <si>
    <t>355.11</t>
  </si>
  <si>
    <t>Valor total do diferimento MUN</t>
  </si>
  <si>
    <t>355.13</t>
  </si>
  <si>
    <t>Valor total de devolução de tributos MUN</t>
  </si>
  <si>
    <t>355.14</t>
  </si>
  <si>
    <t>Valor total do IBS do Município</t>
  </si>
  <si>
    <t>355.16</t>
  </si>
  <si>
    <t>Valor total do IBS</t>
  </si>
  <si>
    <t>355.17</t>
  </si>
  <si>
    <t>Valor total do crédito presumido. (IBS)</t>
  </si>
  <si>
    <t>355.18</t>
  </si>
  <si>
    <t>Valor total do crédito presumido em condição suspensiva. (IBS)</t>
  </si>
  <si>
    <t>355.19</t>
  </si>
  <si>
    <t>Valor total do diferimento. CBS</t>
  </si>
  <si>
    <t>355.23</t>
  </si>
  <si>
    <t>Valor total de devolução de tributos. CBS</t>
  </si>
  <si>
    <t>355.24</t>
  </si>
  <si>
    <t>Valor total da CBS</t>
  </si>
  <si>
    <t>355.26</t>
  </si>
  <si>
    <t>Total do IBS monofásico</t>
  </si>
  <si>
    <t>355.28</t>
  </si>
  <si>
    <t>Total da CBS monofásica</t>
  </si>
  <si>
    <t>355.29</t>
  </si>
  <si>
    <t>Total do IBS monofásico sujeito a retenção</t>
  </si>
  <si>
    <t>355.29a</t>
  </si>
  <si>
    <t>Total da CBS monofásica sujeita a retenção</t>
  </si>
  <si>
    <t>355.29b</t>
  </si>
  <si>
    <t>Total do IBS monofásico retido anteriormente</t>
  </si>
  <si>
    <t>355.29c</t>
  </si>
  <si>
    <t>Total da CBS monofásica retida anteriormente</t>
  </si>
  <si>
    <t>355.29d</t>
  </si>
  <si>
    <t>Total do imposto seletivo</t>
  </si>
  <si>
    <t>Informe com "048"</t>
  </si>
  <si>
    <t>1 = Normal NF-e - Emissão Nomal.
2 = Contingência FS - Emissão em contingência com Impressão do DANFE em Formulário de Segurança.
3 - Contingência SCAN - Emissão em contingência no Sistema de Contingência do Ambiente Nacional - SCAN.
4 - Contingência DPEC - Emissão em contingência com envio da Declaração Prévia de Emissão em Contingência - DPEC.
5 - Contingência FS-DA - Emissão em contingência com impressão do DANFE em Formulário de Segurança para Impressão de Documento Auxiliar de Documento Fiscal Eletrônico (FS-DA).
6=Contingência SVC-AN (SEFAZ Virtual de Contingência do AN);
7=Contingência SVC-RS (SEFAZ Virtual de Contingência do RS); 
9=Contingência off-line da NFC-e (as demais opções de contingência são válidas também para a NFC-e);
Nota: Para a NFC-e somente estão disponíveis e são válidas as opções de contingência 5 e 9.</t>
  </si>
  <si>
    <t>0 = Não se aplica (por exemplo, Nota Fiscal Complementar ou de ajuste)
1 = Operação Presencial
2 = Operação não presencial, pela Internet
3 = Operação não presencial, Teleatendimento
4 = NFC-e em operação com entrega a domicilio
5=Operação presencial, fora do estabelecimento;
9 = Operação não presencial, outros
Nota: Para a NFC-e, somente são aceitas as opções 1 e 4.</t>
  </si>
  <si>
    <r>
      <t xml:space="preserve">Campo será preenchido quando o campo anterior estiver preenchido. Informar o motivo da desoneração: 
1=Táxi; 
3=Produtor Agropecuário;
4=Frotista/Locadora; 
5=Diplomático/Consular; 
6=Utilitários e Motocicletas da Amazônia Ocidental e Áreas de Livre Comércio (Resolução 714/88 e 790/94 – CONTRAN e suas alterações); 
7=SUFRAMA; 
8=Venda a Órgão Público; 
9=Outros. (NT 2011/004); 
</t>
    </r>
    <r>
      <rPr>
        <b/>
        <sz val="10"/>
        <rFont val="Arial"/>
        <family val="2"/>
      </rPr>
      <t xml:space="preserve">10=Deficiente Condutor (Convênio ICMS 38/12); 
11=Deficiente Não Condutor (Convênio ICMS 38/12). 
16=Olimpíadas Rio 2016; </t>
    </r>
    <r>
      <rPr>
        <b/>
        <sz val="10"/>
        <color theme="1"/>
        <rFont val="Arial"/>
        <family val="2"/>
      </rPr>
      <t xml:space="preserve">
Nota: Revogada a partir da versão 3.01 a possibilidade de usar o motivo 2=Deficiente Físico</t>
    </r>
  </si>
  <si>
    <t>cMunFG</t>
  </si>
  <si>
    <t>cUF</t>
  </si>
  <si>
    <t>natOp</t>
  </si>
  <si>
    <t>ID</t>
  </si>
  <si>
    <t>B01</t>
  </si>
  <si>
    <t>ID PAI</t>
  </si>
  <si>
    <t>B02</t>
  </si>
  <si>
    <t>A01</t>
  </si>
  <si>
    <t>B04</t>
  </si>
  <si>
    <t>Ocorrencia</t>
  </si>
  <si>
    <t>B05</t>
  </si>
  <si>
    <t>indPag</t>
  </si>
  <si>
    <t>1-1</t>
  </si>
  <si>
    <t>B06</t>
  </si>
  <si>
    <t>mod</t>
  </si>
  <si>
    <t>serie</t>
  </si>
  <si>
    <t>B07</t>
  </si>
  <si>
    <t>B08</t>
  </si>
  <si>
    <t>nNF</t>
  </si>
  <si>
    <t>B09</t>
  </si>
  <si>
    <t>dhEmi</t>
  </si>
  <si>
    <t>B10</t>
  </si>
  <si>
    <t>dhSaiEnt</t>
  </si>
  <si>
    <t>Tipo de Operação</t>
  </si>
  <si>
    <t>B11</t>
  </si>
  <si>
    <t>tpNF</t>
  </si>
  <si>
    <t>0-1</t>
  </si>
  <si>
    <t>B12</t>
  </si>
  <si>
    <t>B21</t>
  </si>
  <si>
    <t>B28</t>
  </si>
  <si>
    <t>tpImp</t>
  </si>
  <si>
    <t>B22</t>
  </si>
  <si>
    <t>tpEmis</t>
  </si>
  <si>
    <t>B25</t>
  </si>
  <si>
    <t>finNFe</t>
  </si>
  <si>
    <t>B26</t>
  </si>
  <si>
    <t>procEmi</t>
  </si>
  <si>
    <t>B27</t>
  </si>
  <si>
    <t>verProc</t>
  </si>
  <si>
    <t>B23</t>
  </si>
  <si>
    <t>cDV</t>
  </si>
  <si>
    <t>B29</t>
  </si>
  <si>
    <t>dhCont</t>
  </si>
  <si>
    <t>xJust</t>
  </si>
  <si>
    <t>B27.1</t>
  </si>
  <si>
    <t>indFinal</t>
  </si>
  <si>
    <t>B25a</t>
  </si>
  <si>
    <t>idDest</t>
  </si>
  <si>
    <t>B11a</t>
  </si>
  <si>
    <t>indPres</t>
  </si>
  <si>
    <t>B25c</t>
  </si>
  <si>
    <t>indIntermed</t>
  </si>
  <si>
    <t>B31</t>
  </si>
  <si>
    <t>B33</t>
  </si>
  <si>
    <t>Bloco-004 - Identificação do emitente da NF-e</t>
  </si>
  <si>
    <t>CNPJ do emitente</t>
  </si>
  <si>
    <t>C01</t>
  </si>
  <si>
    <t>C02</t>
  </si>
  <si>
    <t>CNPJ</t>
  </si>
  <si>
    <t>CPF do remetente</t>
  </si>
  <si>
    <t>C02a</t>
  </si>
  <si>
    <t>C03</t>
  </si>
  <si>
    <t>C04</t>
  </si>
  <si>
    <t>C06</t>
  </si>
  <si>
    <t>C05</t>
  </si>
  <si>
    <t>C07</t>
  </si>
  <si>
    <t>C08</t>
  </si>
  <si>
    <t>C09</t>
  </si>
  <si>
    <t>C10</t>
  </si>
  <si>
    <t>Código do município</t>
  </si>
  <si>
    <t>C11</t>
  </si>
  <si>
    <t>C12</t>
  </si>
  <si>
    <t>C13</t>
  </si>
  <si>
    <t>C14</t>
  </si>
  <si>
    <t>C15</t>
  </si>
  <si>
    <t>C16</t>
  </si>
  <si>
    <t>C17</t>
  </si>
  <si>
    <t>C18</t>
  </si>
  <si>
    <t>C19</t>
  </si>
  <si>
    <t>Inscrição Municipal do Prestador de Serviço</t>
  </si>
  <si>
    <t>C20</t>
  </si>
  <si>
    <t>C21</t>
  </si>
  <si>
    <t>C18.1</t>
  </si>
  <si>
    <t>Bloco-005 - Identificação do Destinatário da Nota Fiscal eletrônica</t>
  </si>
  <si>
    <t>Campo</t>
  </si>
  <si>
    <t>I23d</t>
  </si>
  <si>
    <t>I17c</t>
  </si>
  <si>
    <t>Indicador de fornecimento de bem móvel usado</t>
  </si>
  <si>
    <t>I01</t>
  </si>
  <si>
    <t>Somente para fornecimentos de bem móvel usado adquirido de pessoa física que não seja contribuinte ou que seja inscrita como MEI. 1 - Bem Móvel Usado</t>
  </si>
  <si>
    <t>116c</t>
  </si>
  <si>
    <t>29f.1</t>
  </si>
  <si>
    <t>29f.2</t>
  </si>
  <si>
    <t>29f.3</t>
  </si>
  <si>
    <t>16a</t>
  </si>
  <si>
    <t>Habilitar a opção de Cadastro de Despesas em tela (Cadastro Individual), não somente via template.</t>
  </si>
  <si>
    <t>853/2025</t>
  </si>
  <si>
    <t>855/2025</t>
  </si>
  <si>
    <t>Mudar o separador de comentários no campo observação de "," para " " ". 
As vezes o usuário usa a VIRGULA no texto do comentário e quebra regra que usa a VIRGULA como separador. 
Trocar para um caracter diferente, exemplo ASPAS.</t>
  </si>
  <si>
    <t>870/2025</t>
  </si>
  <si>
    <t>Alterar o posicionamento dos campos para a parte superior dos paineis "Exportar Fretes selecionados" 
"Exportar Fretes - Status" "PDFs anexados" "Marcar/desmarcar tudo".</t>
  </si>
  <si>
    <t>871/2025</t>
  </si>
  <si>
    <t>Definir uma regra para que não seja possível incluir data do documento superior a data da solicitação. 
Data de Emissão do Documento não pode ser superior a data do sistema (sysdate "hoje").</t>
  </si>
  <si>
    <t>686/2025</t>
  </si>
  <si>
    <t>Campo observações não salva na atualização em massa/excel;
Quando o analista faz a atualização via excel massivo, ele preenche também o Motivo na Observação, e esses campos devem ser salvos no Silas o histórico.</t>
  </si>
  <si>
    <t>772/2025</t>
  </si>
  <si>
    <t>Processo de Notas de Serviço
"Atualmente, o processo de reembolso de despesas para funcionários utiliza o tipo de pedido ZRDE, vinculado ao código de fornecedor SAP. Contudo, identificamos que alguns colaboradores estão cadastrados com dois códigos distintos: 82** e ET***. Essa duplicidade tem ocasionado retornos indevidos no fluxo de aprovação. Para otimizar o processo e evitar tais ocorrências, propomos as seguintes melhorias:
a) Criar uma nova categoria de solicitação denominada "Reembolso Funcionário" no campo "Tipo de Documento";
b) Implementar uma regra que torne obrigatório o preenchimento do campo "Código Fornecedor [calculado]" quando o tipo de documento for "Reembolso Funcionário".
Quando for do Tipo de documento novo “Reembolso de funcionário” o campo não será automaticamente preenchido, e sim aberto para preencher manualmente e obrigatório."
Necessário criar novo tipo de documento “Reembolso de funcionário” o qual, quando selecionado, terá o campo 'Código Fornecedor' aberto para edição.</t>
  </si>
  <si>
    <t>774/2025</t>
  </si>
  <si>
    <t>Processo de Notas de Serviço
"Criar um fluxo para documento estornado (SILAS X SAP)
Solicitação de estorno de documento registrado no SAP, para documentos em aberto dentro do mês. Se estorno aprovado: Criar uma tarefa para que o contas a pagar (Envio e-mail) efetuar o estorno no SAP e alterar o status no Silas para Cancelado. Se estorno negado: No Silas retornará para o status anterior (Registrado ou pagamento Bloqueado). Ponto positivo: Não haverá confronto de informações entre Silas e SAP, ou seja, se o documento estiver estornado no SAP, ele ficará com o status de cancelado no Silas. Além, da retirada do fluxo de solicitações via e-mail.
Adicionar ao perfil do Analista Genpact a opção de estornar o documento já registrado. Que hoje fica 100% bloqueado. Somente documentos REGISTRADOS podem ser Estornados."
Adicionar uma maneira do analista poder alterar o status de um documento que está como 'Registrado' para 'Estornado'.</t>
  </si>
  <si>
    <t>777/2025</t>
  </si>
  <si>
    <t>Processos de Fretes Nacional e Internacional
"- Incluir botão para devolver fluxo
Tela aprovador: Substituir descritivo de "Rejeitar" por "Cancelar" e incluir mais 2 "botões" sendo 1 "devolver ao fornecedor" e o 2º "Enviar para Analista".
Em todas as telas de aprovadores trocar a descrição do botão "REJEITAR" por "CANCELAR" para entenderem melhor que estão cancelando o ID em questão, e não apenas rejeitando a aprovação. Melhor entendimento do usuário. Se possível, colocar um pop-up "Você deseja realmente cancelar este documento?"
Adicionar a opção do aprovador "Devolver ao fornecedor" com um novo botão, igual dos outros fluxos, que voltará o documento para o fornecedor da mesma forma que quando um analista genpact devolve.
Adicionar a opção do aprovador "Devolver ao Analista" onde ele envia novamente ao analista genpact.
Necessário inserir observação OBRIGATORIAMENTE, no caso das devoluções."</t>
  </si>
  <si>
    <t>850/2025</t>
  </si>
  <si>
    <t>A coluna "Observação" no GRID deverá vir com o último comentário inserido.</t>
  </si>
  <si>
    <r>
      <t xml:space="preserve">1 = NF-e Normal 
2 = NF-e Complementar 
3 = NF-e Ajuste
4 = Devolução de Mercadoria
</t>
    </r>
    <r>
      <rPr>
        <b/>
        <sz val="10"/>
        <color rgb="FFFF0000"/>
        <rFont val="Arial"/>
        <family val="2"/>
      </rPr>
      <t>5 = Nota de crédito
6 = Nota de débito</t>
    </r>
  </si>
  <si>
    <t>b</t>
  </si>
  <si>
    <r>
      <t xml:space="preserve">Origem do Processo informar com:
0 = SEFAZ
1 = Justiça Federal
2 = Justiça Estadual
3 = Secex / RFB
</t>
    </r>
    <r>
      <rPr>
        <b/>
        <sz val="10"/>
        <color rgb="FFFF0000"/>
        <rFont val="Arial"/>
        <family val="2"/>
      </rPr>
      <t>4 = CONFAZ</t>
    </r>
    <r>
      <rPr>
        <b/>
        <sz val="10"/>
        <color theme="1"/>
        <rFont val="Arial"/>
        <family val="2"/>
      </rPr>
      <t xml:space="preserve">
9 = Outros</t>
    </r>
  </si>
  <si>
    <r>
      <t xml:space="preserve">Para origem do Processo na SEFAZ (indProc=0), informar o
tipo de ato concessório:
08=Termo de Acordo;
10=Regime Especial;
12=Autorização específica;
</t>
    </r>
    <r>
      <rPr>
        <b/>
        <sz val="10"/>
        <color rgb="FFFF0000"/>
        <rFont val="Arial"/>
        <family val="2"/>
      </rPr>
      <t>14 =Ajuste SINIEF
15 =Convênio ICMS</t>
    </r>
  </si>
  <si>
    <t>355.30</t>
  </si>
  <si>
    <t>Bloco-044 - Referenciamento de item de outro Documento Fiscal Eletrônico - DF-e (GRUPO VC)</t>
  </si>
  <si>
    <t>Chave de acesso do DF-e referenciado</t>
  </si>
  <si>
    <t>325j</t>
  </si>
  <si>
    <t>Número do item do documento referenciado</t>
  </si>
  <si>
    <t>325k</t>
  </si>
  <si>
    <t>Bloco-045 - Informações do Imposto Seletivo</t>
  </si>
  <si>
    <t>Bloco-046 -Grupo UB. Informações do Imposto de Bens e Serviços - IBS e da Contribuição de Bens e Serviços - CBS</t>
  </si>
  <si>
    <t>Bloco 047  -  Informações da composição do valor do IBS e da CBS em compras governamental</t>
  </si>
  <si>
    <t>Bloco-048 -  Informações do IBS e CBS em operações com imposto monofásico</t>
  </si>
  <si>
    <t>Bloco 049- Informações TOTAIS IBS, CBS E IMPOSTO SELETIVO</t>
  </si>
  <si>
    <t>Informe com "049"</t>
  </si>
  <si>
    <t>Chave de acesso da NF-e de antecipação de pagamento</t>
  </si>
  <si>
    <t>29.Y2</t>
  </si>
  <si>
    <t>Referência uma NF-e (modelo 55) emitida anteriormente, referente a pagamento antecipado.</t>
  </si>
  <si>
    <t>Valor Total do Item da NF-e</t>
  </si>
  <si>
    <t>325d</t>
  </si>
  <si>
    <t>Valor total do Item, correspondente à sua participação no total da nota.
A soma dos itens deverá corresponder ao total da nota.</t>
  </si>
  <si>
    <t>dPrevEntrega</t>
  </si>
  <si>
    <t>Formato: “AAAA-MM-DD” Observação: Não informar este campo para a NFC-e.</t>
  </si>
  <si>
    <t>01=Transferência de créditos para Cooperativas;
02=Anulação de Crédito por Saídas Imunes/Isentas;
03=Débitos de notas fiscais não processadas na apuração;
04=Multa e juros;
05=Transferência de crédito de sucessão;
06 = Pagamento antecipado
07 = Perda em estoque
08=Desenquadramento do SN;</t>
  </si>
  <si>
    <t>01 = Multa e juros
02 = Apropriação de crédito presumido de IBS sobre o saldo
devedor na ZFM (art. 450, § 1º, LC 214/25)
03=Retorno por recusa na entrega ou por não localização do destinatário na tentativa de entrega; 
04=Redução de valores;
05=Transferência de crédito na sucessão;</t>
  </si>
  <si>
    <t>Classificação para subapuração do IBS na ZFM</t>
  </si>
  <si>
    <t>104.11</t>
  </si>
  <si>
    <t>Classificação conforme percentuais definidos no art. 450, § 1º, da LC 214/25 para o cálculo do crédito presumido: 
0 - Sem Crédito Presumido 
1 - Bens de consumo final (55%) 
2 - Bens de capital (75%) 
3 - Bens intermediários (90,25%) 
4 - Bens de informática e outros definidos em legislação (100%)</t>
  </si>
  <si>
    <t>Alíquota do Imposto Seletivo (em percentual)</t>
  </si>
  <si>
    <t>Alíquota específica por unidade de medida apropriada (em percentual)</t>
  </si>
  <si>
    <t>Indica a natureza da operação de doação, orientando a apuração e a geração de débitos ou estornos conforme o cenário</t>
  </si>
  <si>
    <t>cClassTrib</t>
  </si>
  <si>
    <t>indDoacao</t>
  </si>
  <si>
    <t>324.14a</t>
  </si>
  <si>
    <t>Informar quando doação</t>
  </si>
  <si>
    <t>tpCredPresIBSZFM</t>
  </si>
  <si>
    <t>indBemMovelUsado</t>
  </si>
  <si>
    <t>Alíquota vigente do IBS da UF. Preencher de acordo com a tabela de alíquotas do IBS e CBS.</t>
  </si>
  <si>
    <t>Alíquota Efetiva do IBS de competência das UF que será aplicada a Base de Cálculo (em percentual)</t>
  </si>
  <si>
    <t>Alíquota vigente do IBS do Município. Preencher de acordo com a tabela de alíquotas do IBS e CBS.</t>
  </si>
  <si>
    <t>Alíquota do IBS de competência do Município (em percentual)</t>
  </si>
  <si>
    <t>pAliqIBSUF</t>
  </si>
  <si>
    <t>vTribIBSUF</t>
  </si>
  <si>
    <t>pAliqIBSMun</t>
  </si>
  <si>
    <t>vTribIBSMun</t>
  </si>
  <si>
    <t>pAliqCBS</t>
  </si>
  <si>
    <t>vTribCBS</t>
  </si>
  <si>
    <t>Alíquota do IBS de competência do Estado (em percentual)</t>
  </si>
  <si>
    <t>Alíquota da CBS (em percentual)</t>
  </si>
  <si>
    <t>UB12</t>
  </si>
  <si>
    <t>UB13</t>
  </si>
  <si>
    <t>UB14</t>
  </si>
  <si>
    <t>UB14a</t>
  </si>
  <si>
    <t>UB16</t>
  </si>
  <si>
    <t>UB15</t>
  </si>
  <si>
    <t>W59f</t>
  </si>
  <si>
    <t>vIBSEstCred</t>
  </si>
  <si>
    <t>Valor total do IBS estornado</t>
  </si>
  <si>
    <t>355.29f</t>
  </si>
  <si>
    <t>W59g</t>
  </si>
  <si>
    <t>vCBSEstCred</t>
  </si>
  <si>
    <t>Valor total da CBS estornada</t>
  </si>
  <si>
    <t>355.29g</t>
  </si>
  <si>
    <t>Valor total da NF-e com IBS / CBS / IS</t>
  </si>
  <si>
    <t>vNFTot</t>
  </si>
  <si>
    <t>W60</t>
  </si>
  <si>
    <t>W58</t>
  </si>
  <si>
    <t>W59</t>
  </si>
  <si>
    <t>W59a</t>
  </si>
  <si>
    <t>W59b</t>
  </si>
  <si>
    <t>W59c</t>
  </si>
  <si>
    <t>W59d</t>
  </si>
  <si>
    <t>vIBSMono</t>
  </si>
  <si>
    <t>vCBSMono</t>
  </si>
  <si>
    <t>vIBSMonoReten</t>
  </si>
  <si>
    <t>vCBSMonoReten</t>
  </si>
  <si>
    <t>vIBSMonoRet</t>
  </si>
  <si>
    <t>vCBSMonoRet</t>
  </si>
  <si>
    <t>W33</t>
  </si>
  <si>
    <t>vIS</t>
  </si>
  <si>
    <t>355.3</t>
  </si>
  <si>
    <t>W35</t>
  </si>
  <si>
    <t>vBCIBSCBS</t>
  </si>
  <si>
    <t>W38</t>
  </si>
  <si>
    <t>W39</t>
  </si>
  <si>
    <t>W41</t>
  </si>
  <si>
    <t>vDif</t>
  </si>
  <si>
    <t>vDevTrib</t>
  </si>
  <si>
    <t>vIBSUF</t>
  </si>
  <si>
    <t>W43</t>
  </si>
  <si>
    <t>W44</t>
  </si>
  <si>
    <t>W46</t>
  </si>
  <si>
    <t>vIBSMun</t>
  </si>
  <si>
    <t>W47</t>
  </si>
  <si>
    <t>W48</t>
  </si>
  <si>
    <t>W49</t>
  </si>
  <si>
    <t>vIBS</t>
  </si>
  <si>
    <t>vCredPres</t>
  </si>
  <si>
    <t>vCredPresCondSus</t>
  </si>
  <si>
    <t>W53</t>
  </si>
  <si>
    <t>W54</t>
  </si>
  <si>
    <t>W56</t>
  </si>
  <si>
    <t>vCBS</t>
  </si>
  <si>
    <t>W56a</t>
  </si>
  <si>
    <t>W56b</t>
  </si>
  <si>
    <t>Valor total do crédito presumido CBS</t>
  </si>
  <si>
    <t>Valor total do crédito presumido em condição suspensiva CBS</t>
  </si>
  <si>
    <t>355.26a</t>
  </si>
  <si>
    <t>355.26b</t>
  </si>
  <si>
    <t>UB85</t>
  </si>
  <si>
    <t>UB86</t>
  </si>
  <si>
    <t>UB87</t>
  </si>
  <si>
    <t>UB88</t>
  </si>
  <si>
    <t>UB89</t>
  </si>
  <si>
    <t>qBCMono</t>
  </si>
  <si>
    <t>adRemIBS</t>
  </si>
  <si>
    <t>adRemCBS</t>
  </si>
  <si>
    <t>UB84</t>
  </si>
  <si>
    <t>UB91</t>
  </si>
  <si>
    <t>UB92</t>
  </si>
  <si>
    <t>UB93</t>
  </si>
  <si>
    <t>UB93a</t>
  </si>
  <si>
    <t>UB93b</t>
  </si>
  <si>
    <t>qBCMonoReten</t>
  </si>
  <si>
    <t>adRemIBSReten</t>
  </si>
  <si>
    <t>adRemCBSReten</t>
  </si>
  <si>
    <t>UB95</t>
  </si>
  <si>
    <t>UB96</t>
  </si>
  <si>
    <t>UB97</t>
  </si>
  <si>
    <t>qBCMonoRet</t>
  </si>
  <si>
    <t>adRemIBSRet</t>
  </si>
  <si>
    <t>UB98</t>
  </si>
  <si>
    <t>UB98a</t>
  </si>
  <si>
    <t>adRemCBSRet</t>
  </si>
  <si>
    <t>UB100</t>
  </si>
  <si>
    <t>UB101</t>
  </si>
  <si>
    <t>UB102</t>
  </si>
  <si>
    <t>UB103</t>
  </si>
  <si>
    <t>pDifIBS</t>
  </si>
  <si>
    <t>vIBSMonoDif</t>
  </si>
  <si>
    <t>pDifCBS</t>
  </si>
  <si>
    <t>vCBSMonoDif</t>
  </si>
  <si>
    <t>UB104</t>
  </si>
  <si>
    <t>UB105</t>
  </si>
  <si>
    <t>vTotIBSMonoItem</t>
  </si>
  <si>
    <t>vTotCBSMonoItem</t>
  </si>
  <si>
    <t>UB107</t>
  </si>
  <si>
    <t>UB108</t>
  </si>
  <si>
    <t>UB82b</t>
  </si>
  <si>
    <t>UB82c</t>
  </si>
  <si>
    <t>UB82d</t>
  </si>
  <si>
    <t>UB82e</t>
  </si>
  <si>
    <t>UB82f</t>
  </si>
  <si>
    <t>UB82g</t>
  </si>
  <si>
    <t>UB82a</t>
  </si>
  <si>
    <t>UB14k</t>
  </si>
  <si>
    <t>UB117</t>
  </si>
  <si>
    <t>UB118</t>
  </si>
  <si>
    <t>Valor do IBS a ser estornado</t>
  </si>
  <si>
    <t>Valor da CBS a ser estornada</t>
  </si>
  <si>
    <t>324.117</t>
  </si>
  <si>
    <t>324.118</t>
  </si>
  <si>
    <t>UB121</t>
  </si>
  <si>
    <t>UB122</t>
  </si>
  <si>
    <t>vBCCredPres</t>
  </si>
  <si>
    <t>cCredPres</t>
  </si>
  <si>
    <t>Valor da Base de Cálculo do Crédito Presumido da Operação</t>
  </si>
  <si>
    <t>Código de Classificação do Crédito Presumido</t>
  </si>
  <si>
    <t>324.121</t>
  </si>
  <si>
    <t>324.122</t>
  </si>
  <si>
    <t>Utilizar tabela cCredPres (Anexo IV). Exemplos:
1 - Aquisição de Produtor Rural não contribuinte. 
2 - Tomador de serviço de transporte de TAC PF não contrib. 
3 - Aquisição de pessoa física com destino a reciclagem. 
4 - Aquisição de bens móveis de PF não contrib. para revenda (veículos / brechó). 
5 - Regime opcional para cooperativa.</t>
  </si>
  <si>
    <t>UB124</t>
  </si>
  <si>
    <t>UB125</t>
  </si>
  <si>
    <t>UB126</t>
  </si>
  <si>
    <t>pCredPres</t>
  </si>
  <si>
    <t>Percentual do Crédito Presumido</t>
  </si>
  <si>
    <t>Valor do Crédito Presumido</t>
  </si>
  <si>
    <t>Valor do Crédito Presumido em condição suspensiva.</t>
  </si>
  <si>
    <t>324.124</t>
  </si>
  <si>
    <t>324.125</t>
  </si>
  <si>
    <t>324.126</t>
  </si>
  <si>
    <t>UB128</t>
  </si>
  <si>
    <t>UB129</t>
  </si>
  <si>
    <t>UB130</t>
  </si>
  <si>
    <t>324.128</t>
  </si>
  <si>
    <t>324.129</t>
  </si>
  <si>
    <t>324.130</t>
  </si>
  <si>
    <t>UB132</t>
  </si>
  <si>
    <t>UB133</t>
  </si>
  <si>
    <t>UB134</t>
  </si>
  <si>
    <t>competApur</t>
  </si>
  <si>
    <t>vCredPresIBSZFM</t>
  </si>
  <si>
    <t>Ano e mês referência do período de apuração (AAAA-MM)</t>
  </si>
  <si>
    <t>324.132</t>
  </si>
  <si>
    <t>324.133</t>
  </si>
  <si>
    <t>324.134</t>
  </si>
  <si>
    <t>Informar período atual ou retroativo.</t>
  </si>
  <si>
    <t>UB18</t>
  </si>
  <si>
    <t>pIBSUF</t>
  </si>
  <si>
    <t>UB22</t>
  </si>
  <si>
    <t>UB23</t>
  </si>
  <si>
    <t>UB25</t>
  </si>
  <si>
    <t>UB27</t>
  </si>
  <si>
    <t>UB28</t>
  </si>
  <si>
    <t>pRedAliq</t>
  </si>
  <si>
    <t>pAliqEfet</t>
  </si>
  <si>
    <t>Base de cálculo do IBS e CBS (em percentual)</t>
  </si>
  <si>
    <t>UB35</t>
  </si>
  <si>
    <t>UB37</t>
  </si>
  <si>
    <t>pIBSMun</t>
  </si>
  <si>
    <t>UB41</t>
  </si>
  <si>
    <t>UB42</t>
  </si>
  <si>
    <t>UB44</t>
  </si>
  <si>
    <t>UB46</t>
  </si>
  <si>
    <t>UB47</t>
  </si>
  <si>
    <t>Alíquota Efetiva do IBS de competência do Município que será aplicada a Base de Cálculo (em percentual)</t>
  </si>
  <si>
    <t>UB54</t>
  </si>
  <si>
    <t>UB54a</t>
  </si>
  <si>
    <t>UB56</t>
  </si>
  <si>
    <t>pCBS</t>
  </si>
  <si>
    <t>UB60</t>
  </si>
  <si>
    <t>UB61</t>
  </si>
  <si>
    <t>UB63</t>
  </si>
  <si>
    <t>UB65</t>
  </si>
  <si>
    <t>UB66</t>
  </si>
  <si>
    <t>Alíquota Efetiva da CBS que será aplicada a Base de Cálculo (em percentual)</t>
  </si>
  <si>
    <t>UB67</t>
  </si>
  <si>
    <t>UB69</t>
  </si>
  <si>
    <t>UB70</t>
  </si>
  <si>
    <t>UB71</t>
  </si>
  <si>
    <t>UB72</t>
  </si>
  <si>
    <t>UB72a</t>
  </si>
  <si>
    <t>UB72b</t>
  </si>
  <si>
    <t>UB72c</t>
  </si>
  <si>
    <t>UB72d</t>
  </si>
  <si>
    <t>CSTReg</t>
  </si>
  <si>
    <t>cClassTribReg</t>
  </si>
  <si>
    <t>pAliqEfetRegIBSUF</t>
  </si>
  <si>
    <t>vTribRegIBSUF</t>
  </si>
  <si>
    <t>pAliqEfetRegIBSMun</t>
  </si>
  <si>
    <t>vTribRegIBSMun</t>
  </si>
  <si>
    <t>pAliqEfetRegCBS</t>
  </si>
  <si>
    <t>vTribRegCBS</t>
  </si>
  <si>
    <t>Valor da alíquota do IBS da UF (em percentual)</t>
  </si>
  <si>
    <t>Valor da alíquota do IBS do Município (em percentual)</t>
  </si>
  <si>
    <t>UB02</t>
  </si>
  <si>
    <t>CSTIS</t>
  </si>
  <si>
    <t>UB03</t>
  </si>
  <si>
    <t>cClassTribIS</t>
  </si>
  <si>
    <t>UB01</t>
  </si>
  <si>
    <t>UB05</t>
  </si>
  <si>
    <t>UB06</t>
  </si>
  <si>
    <t>UB07</t>
  </si>
  <si>
    <t>vBCIS</t>
  </si>
  <si>
    <t>pIS</t>
  </si>
  <si>
    <t>pISEspec</t>
  </si>
  <si>
    <t>UB09</t>
  </si>
  <si>
    <t>UB10</t>
  </si>
  <si>
    <t>uTrib</t>
  </si>
  <si>
    <t>qTrib</t>
  </si>
  <si>
    <t>UB11</t>
  </si>
  <si>
    <t>I05k</t>
  </si>
  <si>
    <t>cMunFGIBS</t>
  </si>
  <si>
    <t>tpEnteGov</t>
  </si>
  <si>
    <t>pRedutor</t>
  </si>
  <si>
    <t>tpOperGov</t>
  </si>
  <si>
    <t>tpNFDebito</t>
  </si>
  <si>
    <t>tpNFCredito</t>
  </si>
  <si>
    <t>B10a</t>
  </si>
  <si>
    <t>Data da previsão de entrega ou disponibilização do bem.</t>
  </si>
  <si>
    <t>VC01</t>
  </si>
  <si>
    <t>VC02</t>
  </si>
  <si>
    <t>VC03</t>
  </si>
  <si>
    <t>chaveAcesso</t>
  </si>
  <si>
    <t>nItem</t>
  </si>
  <si>
    <t>H01</t>
  </si>
  <si>
    <t>M01</t>
  </si>
  <si>
    <t>W31</t>
  </si>
  <si>
    <t>W01</t>
  </si>
  <si>
    <t>VB01</t>
  </si>
  <si>
    <t>vItem</t>
  </si>
  <si>
    <t>BB02</t>
  </si>
  <si>
    <t>refNFe</t>
  </si>
  <si>
    <t>UB113</t>
  </si>
  <si>
    <t>UB114</t>
  </si>
  <si>
    <t>UB115</t>
  </si>
  <si>
    <t>324.113</t>
  </si>
  <si>
    <t>324.114</t>
  </si>
  <si>
    <t>324.115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</si>
</sst>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R$&quot;\ #,##0.00;[Red]\-&quot;R$&quot;\ #,##0.00"/>
    <numFmt numFmtId="43" formatCode="_-* #,##0.00_-;\-* #,##0.00_-;_-* &quot;-&quot;??_-;_-@_-"/>
    <numFmt numFmtId="164" formatCode="000"/>
    <numFmt numFmtId="165" formatCode="00"/>
    <numFmt numFmtId="166" formatCode="000000000"/>
  </numFmts>
  <fonts count="4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b/>
      <sz val="8"/>
      <name val="Arial"/>
      <family val="2"/>
    </font>
    <font>
      <b/>
      <sz val="13.5"/>
      <color indexed="12"/>
      <name val="Arial"/>
      <family val="2"/>
    </font>
    <font>
      <b/>
      <sz val="10"/>
      <name val="Arial"/>
      <family val="2"/>
    </font>
    <font>
      <b/>
      <sz val="8"/>
      <name val="Trebuchet MS"/>
      <family val="2"/>
    </font>
    <font>
      <b/>
      <sz val="12"/>
      <color indexed="12"/>
      <name val="Arial"/>
      <family val="2"/>
    </font>
    <font>
      <b/>
      <sz val="12"/>
      <name val="Arial"/>
      <family val="2"/>
    </font>
    <font>
      <b/>
      <i/>
      <sz val="12"/>
      <color indexed="12"/>
      <name val="Arial"/>
      <family val="2"/>
    </font>
    <font>
      <b/>
      <sz val="10"/>
      <color rgb="FFFF000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name val="Trebuchet MS"/>
      <family val="2"/>
    </font>
    <font>
      <b/>
      <sz val="10"/>
      <color rgb="FFFF0000"/>
      <name val="Trebuchet MS"/>
      <family val="2"/>
    </font>
    <font>
      <b/>
      <sz val="10"/>
      <color indexed="12"/>
      <name val="Arial"/>
      <family val="2"/>
    </font>
    <font>
      <sz val="10"/>
      <name val="Arial"/>
      <family val="2"/>
    </font>
    <font>
      <b/>
      <sz val="10"/>
      <color theme="1"/>
      <name val="Arial"/>
      <family val="2"/>
    </font>
    <font>
      <sz val="10"/>
      <name val="Times New Roman"/>
      <family val="1"/>
    </font>
    <font>
      <sz val="12"/>
      <name val="Times New Roman"/>
      <family val="1"/>
    </font>
    <font>
      <i/>
      <sz val="18"/>
      <color theme="3"/>
      <name val="Calibri"/>
      <family val="2"/>
      <scheme val="minor"/>
    </font>
    <font>
      <b/>
      <sz val="14"/>
      <color theme="1"/>
      <name val="Calibri"/>
      <family val="2"/>
      <scheme val="minor"/>
    </font>
    <font>
      <b/>
      <sz val="11"/>
      <name val="Calibri"/>
      <family val="2"/>
      <scheme val="minor"/>
    </font>
    <font>
      <b/>
      <sz val="10"/>
      <color theme="1"/>
      <name val="Trebuchet MS"/>
      <family val="2"/>
    </font>
    <font>
      <b/>
      <sz val="8"/>
      <color theme="1"/>
      <name val="Arial"/>
      <family val="2"/>
    </font>
    <font>
      <sz val="8"/>
      <color theme="1"/>
      <name val="Arial"/>
      <family val="2"/>
    </font>
    <font>
      <b/>
      <u/>
      <sz val="10"/>
      <color rgb="FFFF0000"/>
      <name val="Arial"/>
      <family val="2"/>
    </font>
    <font>
      <b/>
      <sz val="10"/>
      <color rgb="FF0070C0"/>
      <name val="Arial"/>
      <family val="2"/>
    </font>
    <font>
      <sz val="10"/>
      <color rgb="FF000000"/>
      <name val="Courier New"/>
      <family val="3"/>
    </font>
    <font>
      <sz val="8"/>
      <name val="Arial"/>
      <family val="2"/>
    </font>
    <font>
      <sz val="10"/>
      <name val="Arial"/>
      <family val="2"/>
    </font>
  </fonts>
  <fills count="49">
    <fill>
      <patternFill patternType="none"/>
    </fill>
    <fill>
      <patternFill patternType="gray125"/>
    </fill>
    <fill>
      <patternFill patternType="solid">
        <fgColor indexed="51"/>
        <bgColor indexed="64"/>
      </patternFill>
    </fill>
    <fill>
      <patternFill patternType="solid">
        <fgColor indexed="11"/>
        <bgColor indexed="64"/>
      </patternFill>
    </fill>
    <fill>
      <patternFill patternType="solid">
        <fgColor indexed="52"/>
        <bgColor indexed="64"/>
      </patternFill>
    </fill>
    <fill>
      <patternFill patternType="solid">
        <fgColor indexed="46"/>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CC"/>
        <bgColor indexed="64"/>
      </patternFill>
    </fill>
    <fill>
      <patternFill patternType="solid">
        <fgColor theme="0"/>
        <bgColor indexed="64"/>
      </patternFill>
    </fill>
    <fill>
      <patternFill patternType="solid">
        <fgColor rgb="FFCCFFFF"/>
        <bgColor indexed="64"/>
      </patternFill>
    </fill>
    <fill>
      <patternFill patternType="solid">
        <fgColor theme="9"/>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rgb="FF00FF00"/>
        <bgColor indexed="64"/>
      </patternFill>
    </fill>
    <fill>
      <patternFill patternType="solid">
        <fgColor theme="0" tint="-0.14999847407452621"/>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bottom/>
      <diagonal/>
    </border>
  </borders>
  <cellStyleXfs count="64">
    <xf numFmtId="0" fontId="0" fillId="0" borderId="0"/>
    <xf numFmtId="0" fontId="15" fillId="0" borderId="0" applyNumberFormat="0" applyFill="0" applyBorder="0" applyAlignment="0" applyProtection="0"/>
    <xf numFmtId="0" fontId="16" fillId="0" borderId="7" applyNumberFormat="0" applyFill="0" applyAlignment="0" applyProtection="0"/>
    <xf numFmtId="0" fontId="17" fillId="0" borderId="8" applyNumberFormat="0" applyFill="0" applyAlignment="0" applyProtection="0"/>
    <xf numFmtId="0" fontId="18" fillId="0" borderId="9" applyNumberFormat="0" applyFill="0" applyAlignment="0" applyProtection="0"/>
    <xf numFmtId="0" fontId="18" fillId="0" borderId="0" applyNumberFormat="0" applyFill="0" applyBorder="0" applyAlignment="0" applyProtection="0"/>
    <xf numFmtId="0" fontId="19" fillId="9" borderId="0" applyNumberFormat="0" applyBorder="0" applyAlignment="0" applyProtection="0"/>
    <xf numFmtId="0" fontId="20" fillId="10" borderId="0" applyNumberFormat="0" applyBorder="0" applyAlignment="0" applyProtection="0"/>
    <xf numFmtId="0" fontId="21" fillId="11" borderId="0" applyNumberFormat="0" applyBorder="0" applyAlignment="0" applyProtection="0"/>
    <xf numFmtId="0" fontId="22" fillId="12" borderId="10" applyNumberFormat="0" applyAlignment="0" applyProtection="0"/>
    <xf numFmtId="0" fontId="23" fillId="13" borderId="11" applyNumberFormat="0" applyAlignment="0" applyProtection="0"/>
    <xf numFmtId="0" fontId="24" fillId="13" borderId="10" applyNumberFormat="0" applyAlignment="0" applyProtection="0"/>
    <xf numFmtId="0" fontId="25" fillId="0" borderId="12" applyNumberFormat="0" applyFill="0" applyAlignment="0" applyProtection="0"/>
    <xf numFmtId="0" fontId="26" fillId="14" borderId="13" applyNumberFormat="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9" fillId="0" borderId="15" applyNumberFormat="0" applyFill="0" applyAlignment="0" applyProtection="0"/>
    <xf numFmtId="0" fontId="30"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30" fillId="23" borderId="0" applyNumberFormat="0" applyBorder="0" applyAlignment="0" applyProtection="0"/>
    <xf numFmtId="0" fontId="30"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30" fillId="27" borderId="0" applyNumberFormat="0" applyBorder="0" applyAlignment="0" applyProtection="0"/>
    <xf numFmtId="0" fontId="30"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30" fillId="35" borderId="0" applyNumberFormat="0" applyBorder="0" applyAlignment="0" applyProtection="0"/>
    <xf numFmtId="0" fontId="30" fillId="36"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30" fillId="39" borderId="0" applyNumberFormat="0" applyBorder="0" applyAlignment="0" applyProtection="0"/>
    <xf numFmtId="0" fontId="5" fillId="0" borderId="0"/>
    <xf numFmtId="0" fontId="5" fillId="15" borderId="14" applyNumberFormat="0" applyFont="0" applyAlignment="0" applyProtection="0"/>
    <xf numFmtId="0" fontId="4" fillId="0" borderId="0"/>
    <xf numFmtId="0" fontId="3" fillId="0" borderId="0"/>
    <xf numFmtId="43" fontId="3" fillId="0" borderId="0" applyFont="0" applyFill="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0" borderId="0"/>
    <xf numFmtId="0" fontId="1" fillId="15" borderId="14" applyNumberFormat="0" applyFont="0" applyAlignment="0" applyProtection="0"/>
    <xf numFmtId="0" fontId="1" fillId="0" borderId="0"/>
    <xf numFmtId="0" fontId="1" fillId="0" borderId="0"/>
    <xf numFmtId="43" fontId="1" fillId="0" borderId="0" applyFont="0" applyFill="0" applyBorder="0" applyAlignment="0" applyProtection="0"/>
    <xf numFmtId="9" fontId="48" fillId="0" borderId="0" applyFont="0" applyFill="0" applyBorder="0" applyAlignment="0" applyProtection="0"/>
  </cellStyleXfs>
  <cellXfs count="370">
    <xf numFmtId="0" fontId="0" fillId="0" borderId="0" xfId="0"/>
    <xf numFmtId="0" fontId="9" fillId="0" borderId="0" xfId="0" applyFont="1" applyAlignment="1">
      <alignment vertical="center" wrapText="1"/>
    </xf>
    <xf numFmtId="164" fontId="9" fillId="0" borderId="1" xfId="0" applyNumberFormat="1" applyFont="1" applyBorder="1" applyAlignment="1">
      <alignment horizontal="center" vertical="center" wrapText="1"/>
    </xf>
    <xf numFmtId="0" fontId="9" fillId="0" borderId="1" xfId="0" applyFont="1" applyBorder="1" applyAlignment="1">
      <alignment vertical="center" wrapText="1"/>
    </xf>
    <xf numFmtId="0" fontId="9" fillId="0" borderId="0" xfId="0" applyFont="1" applyAlignment="1">
      <alignment horizontal="center" vertical="center" wrapText="1"/>
    </xf>
    <xf numFmtId="0" fontId="9" fillId="2" borderId="1" xfId="0" applyFont="1" applyFill="1" applyBorder="1" applyAlignment="1">
      <alignment horizontal="center" vertical="center" wrapText="1"/>
    </xf>
    <xf numFmtId="0" fontId="9" fillId="2" borderId="1" xfId="0" applyFont="1" applyFill="1" applyBorder="1" applyAlignment="1">
      <alignment vertical="center" wrapText="1"/>
    </xf>
    <xf numFmtId="0" fontId="9" fillId="3" borderId="1" xfId="0" applyFont="1" applyFill="1" applyBorder="1" applyAlignment="1">
      <alignment horizontal="center" vertical="center" wrapText="1"/>
    </xf>
    <xf numFmtId="0" fontId="9" fillId="3" borderId="1" xfId="0" applyFont="1" applyFill="1" applyBorder="1" applyAlignment="1">
      <alignment vertical="center" wrapText="1"/>
    </xf>
    <xf numFmtId="0" fontId="9" fillId="2" borderId="1" xfId="0" applyFont="1" applyFill="1" applyBorder="1" applyAlignment="1">
      <alignment vertical="center"/>
    </xf>
    <xf numFmtId="0" fontId="9" fillId="0" borderId="1" xfId="0" applyFont="1" applyBorder="1" applyAlignment="1">
      <alignment vertical="center"/>
    </xf>
    <xf numFmtId="0" fontId="9" fillId="0" borderId="0" xfId="0" applyFont="1" applyAlignment="1">
      <alignment vertical="center"/>
    </xf>
    <xf numFmtId="0" fontId="9" fillId="3" borderId="1" xfId="0" applyFont="1" applyFill="1" applyBorder="1" applyAlignment="1">
      <alignment vertical="center"/>
    </xf>
    <xf numFmtId="0" fontId="9" fillId="0" borderId="2" xfId="0" applyFont="1" applyBorder="1" applyAlignment="1">
      <alignment vertical="center"/>
    </xf>
    <xf numFmtId="0" fontId="10" fillId="0" borderId="1" xfId="0" applyFont="1" applyBorder="1" applyAlignment="1">
      <alignment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7" fillId="0" borderId="0" xfId="0" applyFont="1" applyAlignment="1">
      <alignment vertical="center"/>
    </xf>
    <xf numFmtId="0" fontId="9" fillId="0" borderId="1" xfId="0" applyFont="1" applyBorder="1" applyAlignment="1">
      <alignment horizontal="center" vertical="center"/>
    </xf>
    <xf numFmtId="0" fontId="8" fillId="0" borderId="0" xfId="0" applyFont="1" applyAlignment="1">
      <alignment vertical="center" wrapText="1"/>
    </xf>
    <xf numFmtId="0" fontId="12" fillId="0" borderId="0" xfId="0" applyFont="1" applyAlignment="1">
      <alignment vertical="center"/>
    </xf>
    <xf numFmtId="0" fontId="7" fillId="0" borderId="1" xfId="0" applyFont="1" applyBorder="1" applyAlignment="1">
      <alignment vertical="center" wrapText="1"/>
    </xf>
    <xf numFmtId="0" fontId="7" fillId="0" borderId="5" xfId="0" applyFont="1" applyBorder="1" applyAlignment="1">
      <alignment vertical="center" wrapText="1"/>
    </xf>
    <xf numFmtId="0" fontId="9" fillId="0" borderId="3" xfId="0" applyFont="1" applyBorder="1" applyAlignment="1">
      <alignment vertical="center"/>
    </xf>
    <xf numFmtId="0" fontId="9" fillId="4" borderId="2" xfId="0" applyFont="1" applyFill="1" applyBorder="1" applyAlignment="1">
      <alignment vertical="center"/>
    </xf>
    <xf numFmtId="49" fontId="7" fillId="0" borderId="1" xfId="0" applyNumberFormat="1" applyFont="1" applyBorder="1" applyAlignment="1">
      <alignment horizontal="center" vertical="center" wrapText="1"/>
    </xf>
    <xf numFmtId="0" fontId="14" fillId="0" borderId="2" xfId="0" applyFont="1" applyBorder="1" applyAlignment="1">
      <alignment vertical="center"/>
    </xf>
    <xf numFmtId="0" fontId="14" fillId="0" borderId="1" xfId="0" applyFont="1" applyBorder="1" applyAlignment="1">
      <alignment vertical="center"/>
    </xf>
    <xf numFmtId="0" fontId="9" fillId="0" borderId="1" xfId="0" applyFont="1" applyBorder="1" applyAlignment="1">
      <alignment horizontal="center" vertical="center" wrapText="1"/>
    </xf>
    <xf numFmtId="49" fontId="9" fillId="0" borderId="1" xfId="0" applyNumberFormat="1" applyFont="1" applyBorder="1" applyAlignment="1">
      <alignment horizontal="center" vertical="center" wrapText="1"/>
    </xf>
    <xf numFmtId="0" fontId="31" fillId="0" borderId="1" xfId="0" applyFont="1" applyBorder="1" applyAlignment="1">
      <alignment vertical="center"/>
    </xf>
    <xf numFmtId="0" fontId="9" fillId="0" borderId="5" xfId="0" applyFont="1" applyBorder="1" applyAlignment="1">
      <alignment vertical="center" wrapText="1"/>
    </xf>
    <xf numFmtId="0" fontId="31" fillId="0" borderId="1" xfId="0" applyFont="1" applyBorder="1" applyAlignment="1">
      <alignment vertical="center" wrapText="1"/>
    </xf>
    <xf numFmtId="0" fontId="14" fillId="0" borderId="1" xfId="0" applyFont="1" applyBorder="1" applyAlignment="1">
      <alignment horizontal="center" vertical="center" wrapText="1"/>
    </xf>
    <xf numFmtId="0" fontId="14" fillId="0" borderId="1" xfId="0" applyFont="1" applyBorder="1" applyAlignment="1">
      <alignment vertical="center" wrapText="1"/>
    </xf>
    <xf numFmtId="0" fontId="31" fillId="0" borderId="1" xfId="0" applyFont="1" applyBorder="1" applyAlignment="1">
      <alignment horizontal="center" vertical="center"/>
    </xf>
    <xf numFmtId="0" fontId="9" fillId="0" borderId="3" xfId="0" applyFont="1" applyBorder="1" applyAlignment="1">
      <alignment vertical="center" wrapText="1"/>
    </xf>
    <xf numFmtId="165" fontId="9" fillId="0" borderId="1" xfId="0" applyNumberFormat="1" applyFont="1" applyBorder="1" applyAlignment="1">
      <alignment horizontal="center" vertical="center"/>
    </xf>
    <xf numFmtId="49" fontId="9" fillId="0" borderId="1" xfId="0" applyNumberFormat="1" applyFont="1" applyBorder="1" applyAlignment="1">
      <alignment vertical="center" wrapText="1"/>
    </xf>
    <xf numFmtId="166" fontId="9" fillId="0" borderId="1" xfId="0" applyNumberFormat="1" applyFont="1" applyBorder="1" applyAlignment="1">
      <alignment horizontal="center" vertical="center" wrapText="1"/>
    </xf>
    <xf numFmtId="0" fontId="33" fillId="0" borderId="6" xfId="0" applyFont="1" applyBorder="1" applyAlignment="1">
      <alignment horizontal="center" vertical="center" wrapText="1"/>
    </xf>
    <xf numFmtId="0" fontId="33" fillId="0" borderId="5" xfId="0" applyFont="1" applyBorder="1" applyAlignment="1">
      <alignment horizontal="center" vertical="center" wrapText="1"/>
    </xf>
    <xf numFmtId="0" fontId="37" fillId="0" borderId="0" xfId="0" applyFont="1" applyAlignment="1">
      <alignment horizontal="left" indent="2"/>
    </xf>
    <xf numFmtId="0" fontId="36" fillId="0" borderId="16" xfId="0" applyFont="1" applyBorder="1" applyAlignment="1">
      <alignment vertical="top" wrapText="1"/>
    </xf>
    <xf numFmtId="0" fontId="36" fillId="0" borderId="17" xfId="0" applyFont="1" applyBorder="1" applyAlignment="1">
      <alignment vertical="top" wrapText="1"/>
    </xf>
    <xf numFmtId="0" fontId="36" fillId="0" borderId="18" xfId="0" applyFont="1" applyBorder="1" applyAlignment="1">
      <alignment vertical="top" wrapText="1"/>
    </xf>
    <xf numFmtId="0" fontId="36" fillId="0" borderId="19" xfId="0" applyFont="1" applyBorder="1" applyAlignment="1">
      <alignment vertical="top" wrapText="1"/>
    </xf>
    <xf numFmtId="0" fontId="34" fillId="0" borderId="0" xfId="0" applyFont="1"/>
    <xf numFmtId="0" fontId="9" fillId="41" borderId="1" xfId="0" applyFont="1" applyFill="1" applyBorder="1" applyAlignment="1">
      <alignment vertical="center" wrapText="1"/>
    </xf>
    <xf numFmtId="0" fontId="9" fillId="41" borderId="1" xfId="0" applyFont="1" applyFill="1" applyBorder="1" applyAlignment="1">
      <alignment vertical="center"/>
    </xf>
    <xf numFmtId="0" fontId="9" fillId="6" borderId="1" xfId="0" applyFont="1" applyFill="1" applyBorder="1" applyAlignment="1">
      <alignment horizontal="center" vertical="center" wrapText="1"/>
    </xf>
    <xf numFmtId="0" fontId="14" fillId="0" borderId="0" xfId="0" applyFont="1" applyAlignment="1">
      <alignment vertical="center" wrapText="1"/>
    </xf>
    <xf numFmtId="0" fontId="9" fillId="0" borderId="5" xfId="0" applyFont="1" applyBorder="1" applyAlignment="1">
      <alignment vertical="center"/>
    </xf>
    <xf numFmtId="49" fontId="9" fillId="2" borderId="1" xfId="0" applyNumberFormat="1" applyFont="1" applyFill="1" applyBorder="1" applyAlignment="1">
      <alignment horizontal="center" vertical="center" wrapText="1"/>
    </xf>
    <xf numFmtId="49" fontId="9" fillId="0" borderId="0" xfId="0" applyNumberFormat="1" applyFont="1" applyAlignment="1">
      <alignment vertical="center" wrapText="1"/>
    </xf>
    <xf numFmtId="49" fontId="31" fillId="0" borderId="1" xfId="0" applyNumberFormat="1" applyFont="1" applyBorder="1" applyAlignment="1">
      <alignment horizontal="center" vertical="center"/>
    </xf>
    <xf numFmtId="49" fontId="9" fillId="0" borderId="1" xfId="0" applyNumberFormat="1" applyFont="1" applyBorder="1" applyAlignment="1">
      <alignment horizontal="center" vertical="center"/>
    </xf>
    <xf numFmtId="49" fontId="34" fillId="0" borderId="1" xfId="0" applyNumberFormat="1" applyFont="1" applyBorder="1" applyAlignment="1">
      <alignment horizontal="center" vertical="center"/>
    </xf>
    <xf numFmtId="49" fontId="9" fillId="0" borderId="0" xfId="0" applyNumberFormat="1" applyFont="1" applyAlignment="1">
      <alignment horizontal="center" vertical="center" wrapText="1"/>
    </xf>
    <xf numFmtId="49" fontId="9" fillId="3" borderId="1" xfId="0" applyNumberFormat="1" applyFont="1" applyFill="1" applyBorder="1" applyAlignment="1">
      <alignment horizontal="center" vertical="center" wrapText="1"/>
    </xf>
    <xf numFmtId="49" fontId="33" fillId="0" borderId="6" xfId="0" applyNumberFormat="1" applyFont="1" applyBorder="1" applyAlignment="1">
      <alignment horizontal="center" vertical="center" wrapText="1"/>
    </xf>
    <xf numFmtId="0" fontId="14" fillId="0" borderId="3" xfId="0" applyFont="1" applyBorder="1" applyAlignment="1">
      <alignment vertical="center"/>
    </xf>
    <xf numFmtId="0" fontId="7" fillId="0" borderId="1" xfId="43" applyFont="1" applyBorder="1" applyAlignment="1">
      <alignment horizontal="center" vertical="center" wrapText="1"/>
    </xf>
    <xf numFmtId="49" fontId="7" fillId="0" borderId="1" xfId="43" applyNumberFormat="1" applyFont="1" applyBorder="1" applyAlignment="1">
      <alignment horizontal="center" vertical="center"/>
    </xf>
    <xf numFmtId="0" fontId="7" fillId="0" borderId="1" xfId="43" applyFont="1" applyBorder="1" applyAlignment="1">
      <alignment vertical="center"/>
    </xf>
    <xf numFmtId="0" fontId="10" fillId="0" borderId="1" xfId="43" applyFont="1" applyBorder="1" applyAlignment="1">
      <alignment horizontal="center" vertical="center"/>
    </xf>
    <xf numFmtId="0" fontId="10" fillId="0" borderId="1" xfId="43" applyFont="1" applyBorder="1" applyAlignment="1">
      <alignment vertical="center"/>
    </xf>
    <xf numFmtId="165" fontId="7" fillId="0" borderId="1" xfId="43" applyNumberFormat="1" applyFont="1" applyBorder="1" applyAlignment="1">
      <alignment horizontal="center" vertical="center"/>
    </xf>
    <xf numFmtId="0" fontId="14" fillId="6" borderId="1" xfId="0" applyFont="1" applyFill="1" applyBorder="1" applyAlignment="1">
      <alignment horizontal="center" vertical="center"/>
    </xf>
    <xf numFmtId="0" fontId="14" fillId="6" borderId="1" xfId="0" applyFont="1" applyFill="1" applyBorder="1" applyAlignment="1">
      <alignment horizontal="center" vertical="center" wrapText="1"/>
    </xf>
    <xf numFmtId="0" fontId="9" fillId="0" borderId="4" xfId="0" applyFont="1" applyBorder="1" applyAlignment="1">
      <alignment horizontal="left" vertical="center" wrapText="1"/>
    </xf>
    <xf numFmtId="0" fontId="9" fillId="0" borderId="1" xfId="0" applyFont="1" applyBorder="1" applyAlignment="1">
      <alignment horizontal="left" vertical="center" wrapText="1"/>
    </xf>
    <xf numFmtId="49" fontId="7"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10" fillId="5" borderId="1" xfId="0" applyFont="1" applyFill="1" applyBorder="1" applyAlignment="1">
      <alignment vertical="center"/>
    </xf>
    <xf numFmtId="164" fontId="9" fillId="5" borderId="1" xfId="0" applyNumberFormat="1" applyFont="1" applyFill="1" applyBorder="1" applyAlignment="1">
      <alignment horizontal="center" vertical="center"/>
    </xf>
    <xf numFmtId="0" fontId="9" fillId="0" borderId="5" xfId="0" applyFont="1" applyBorder="1" applyAlignment="1">
      <alignment horizontal="left" wrapText="1"/>
    </xf>
    <xf numFmtId="0" fontId="9" fillId="5" borderId="1" xfId="0" applyFont="1" applyFill="1" applyBorder="1" applyAlignment="1">
      <alignment vertical="center" wrapText="1"/>
    </xf>
    <xf numFmtId="0" fontId="38" fillId="0" borderId="0" xfId="44" applyFont="1"/>
    <xf numFmtId="0" fontId="3" fillId="0" borderId="0" xfId="44"/>
    <xf numFmtId="0" fontId="39" fillId="0" borderId="0" xfId="44" applyFont="1"/>
    <xf numFmtId="0" fontId="40" fillId="42" borderId="3" xfId="44" applyFont="1" applyFill="1" applyBorder="1" applyAlignment="1">
      <alignment horizontal="center" vertical="center"/>
    </xf>
    <xf numFmtId="49" fontId="40" fillId="42" borderId="1" xfId="44" applyNumberFormat="1" applyFont="1" applyFill="1" applyBorder="1" applyAlignment="1">
      <alignment horizontal="center"/>
    </xf>
    <xf numFmtId="0" fontId="29" fillId="8" borderId="1" xfId="44" applyFont="1" applyFill="1" applyBorder="1" applyAlignment="1">
      <alignment horizontal="center"/>
    </xf>
    <xf numFmtId="0" fontId="29" fillId="43" borderId="1" xfId="44" applyFont="1" applyFill="1" applyBorder="1" applyAlignment="1">
      <alignment horizontal="center"/>
    </xf>
    <xf numFmtId="49" fontId="40" fillId="6" borderId="1" xfId="44" applyNumberFormat="1" applyFont="1" applyFill="1" applyBorder="1" applyAlignment="1">
      <alignment horizontal="center"/>
    </xf>
    <xf numFmtId="0" fontId="29" fillId="6" borderId="1" xfId="44" applyFont="1" applyFill="1" applyBorder="1" applyAlignment="1">
      <alignment horizontal="center"/>
    </xf>
    <xf numFmtId="4" fontId="29" fillId="6" borderId="1" xfId="45" applyNumberFormat="1" applyFont="1" applyFill="1" applyBorder="1" applyAlignment="1">
      <alignment horizontal="center"/>
    </xf>
    <xf numFmtId="0" fontId="3" fillId="0" borderId="0" xfId="44" applyAlignment="1">
      <alignment horizontal="left"/>
    </xf>
    <xf numFmtId="49" fontId="40" fillId="0" borderId="1" xfId="44" applyNumberFormat="1" applyFont="1" applyBorder="1" applyAlignment="1">
      <alignment horizontal="center"/>
    </xf>
    <xf numFmtId="0" fontId="29" fillId="0" borderId="1" xfId="44" applyFont="1" applyBorder="1" applyAlignment="1">
      <alignment horizontal="center"/>
    </xf>
    <xf numFmtId="4" fontId="29" fillId="0" borderId="1" xfId="45" applyNumberFormat="1" applyFont="1" applyFill="1" applyBorder="1" applyAlignment="1">
      <alignment horizontal="center"/>
    </xf>
    <xf numFmtId="0" fontId="29" fillId="8" borderId="1" xfId="44" applyFont="1" applyFill="1" applyBorder="1" applyAlignment="1">
      <alignment horizontal="center" vertical="center"/>
    </xf>
    <xf numFmtId="0" fontId="29" fillId="43" borderId="1" xfId="44" applyFont="1" applyFill="1" applyBorder="1" applyAlignment="1">
      <alignment horizontal="center" vertical="center"/>
    </xf>
    <xf numFmtId="0" fontId="3" fillId="0" borderId="1" xfId="44" applyBorder="1" applyAlignment="1">
      <alignment horizontal="center" vertical="center"/>
    </xf>
    <xf numFmtId="0" fontId="3" fillId="0" borderId="1" xfId="44" applyBorder="1"/>
    <xf numFmtId="0" fontId="3" fillId="0" borderId="1" xfId="44" applyBorder="1" applyAlignment="1">
      <alignment vertical="center"/>
    </xf>
    <xf numFmtId="0" fontId="3" fillId="0" borderId="0" xfId="44" applyAlignment="1">
      <alignment vertical="center"/>
    </xf>
    <xf numFmtId="0" fontId="29" fillId="6" borderId="1" xfId="44" applyFont="1" applyFill="1" applyBorder="1" applyAlignment="1">
      <alignment horizontal="center" vertical="center"/>
    </xf>
    <xf numFmtId="0" fontId="41" fillId="0" borderId="1" xfId="0" applyFont="1" applyBorder="1" applyAlignment="1">
      <alignment vertical="center" wrapText="1"/>
    </xf>
    <xf numFmtId="0" fontId="35" fillId="41" borderId="1" xfId="0" applyFont="1" applyFill="1" applyBorder="1" applyAlignment="1">
      <alignment horizontal="center" vertical="center" wrapText="1"/>
    </xf>
    <xf numFmtId="0" fontId="35" fillId="41" borderId="1" xfId="0" applyFont="1" applyFill="1" applyBorder="1" applyAlignment="1">
      <alignment vertical="center" wrapText="1"/>
    </xf>
    <xf numFmtId="164" fontId="35" fillId="0" borderId="1" xfId="0" applyNumberFormat="1" applyFont="1" applyBorder="1" applyAlignment="1">
      <alignment horizontal="center" vertical="center" wrapText="1"/>
    </xf>
    <xf numFmtId="0" fontId="35" fillId="0" borderId="2" xfId="0" applyFont="1" applyBorder="1" applyAlignment="1">
      <alignment vertical="center"/>
    </xf>
    <xf numFmtId="0" fontId="41" fillId="0" borderId="1" xfId="0" applyFont="1" applyBorder="1" applyAlignment="1">
      <alignment vertical="center"/>
    </xf>
    <xf numFmtId="49" fontId="35" fillId="0" borderId="1" xfId="0" applyNumberFormat="1" applyFont="1" applyBorder="1" applyAlignment="1">
      <alignment horizontal="center" vertical="center" wrapText="1"/>
    </xf>
    <xf numFmtId="0" fontId="35" fillId="0" borderId="1" xfId="0" applyFont="1" applyBorder="1" applyAlignment="1">
      <alignment horizontal="center" vertical="center" wrapText="1"/>
    </xf>
    <xf numFmtId="0" fontId="35" fillId="0" borderId="1" xfId="0" applyFont="1" applyBorder="1" applyAlignment="1">
      <alignment vertical="center" wrapText="1"/>
    </xf>
    <xf numFmtId="0" fontId="35" fillId="0" borderId="5" xfId="0" applyFont="1" applyBorder="1" applyAlignment="1">
      <alignment vertical="center" wrapText="1"/>
    </xf>
    <xf numFmtId="49" fontId="41" fillId="0" borderId="1" xfId="0" applyNumberFormat="1" applyFont="1" applyBorder="1" applyAlignment="1">
      <alignment horizontal="center" vertical="center"/>
    </xf>
    <xf numFmtId="0" fontId="35" fillId="0" borderId="1" xfId="0" applyFont="1" applyBorder="1" applyAlignment="1">
      <alignment horizontal="center" vertical="center"/>
    </xf>
    <xf numFmtId="0" fontId="35" fillId="0" borderId="1" xfId="0" applyFont="1" applyBorder="1" applyAlignment="1">
      <alignment vertical="center"/>
    </xf>
    <xf numFmtId="0" fontId="42" fillId="0" borderId="1" xfId="0" applyFont="1" applyBorder="1" applyAlignment="1">
      <alignment vertical="center" wrapText="1"/>
    </xf>
    <xf numFmtId="49" fontId="35" fillId="0" borderId="1" xfId="0" applyNumberFormat="1" applyFont="1" applyBorder="1" applyAlignment="1">
      <alignment vertical="center" wrapText="1"/>
    </xf>
    <xf numFmtId="0" fontId="35" fillId="0" borderId="1" xfId="0" applyFont="1" applyBorder="1" applyAlignment="1">
      <alignment horizontal="left" vertical="center" wrapText="1"/>
    </xf>
    <xf numFmtId="0" fontId="35" fillId="0" borderId="4" xfId="0" applyFont="1" applyBorder="1" applyAlignment="1">
      <alignment horizontal="left" vertical="center" wrapText="1"/>
    </xf>
    <xf numFmtId="0" fontId="35" fillId="0" borderId="0" xfId="0" applyFont="1" applyAlignment="1">
      <alignment vertical="center" wrapText="1"/>
    </xf>
    <xf numFmtId="0" fontId="35" fillId="3" borderId="1" xfId="0" applyFont="1" applyFill="1" applyBorder="1" applyAlignment="1">
      <alignment vertical="center" wrapText="1"/>
    </xf>
    <xf numFmtId="0" fontId="35" fillId="0" borderId="5" xfId="0" applyFont="1" applyBorder="1" applyAlignment="1">
      <alignment horizontal="center" vertical="center" wrapText="1"/>
    </xf>
    <xf numFmtId="0" fontId="35" fillId="41" borderId="1" xfId="0" applyFont="1" applyFill="1" applyBorder="1" applyAlignment="1">
      <alignment vertical="center"/>
    </xf>
    <xf numFmtId="0" fontId="42" fillId="0" borderId="1" xfId="0" applyFont="1" applyBorder="1" applyAlignment="1">
      <alignment vertical="center"/>
    </xf>
    <xf numFmtId="49" fontId="42" fillId="0" borderId="1" xfId="0" applyNumberFormat="1" applyFont="1" applyBorder="1" applyAlignment="1">
      <alignment horizontal="center" vertical="center" wrapText="1"/>
    </xf>
    <xf numFmtId="0" fontId="42" fillId="0" borderId="1" xfId="0" applyFont="1" applyBorder="1" applyAlignment="1">
      <alignment horizontal="center" vertical="center" wrapText="1"/>
    </xf>
    <xf numFmtId="49" fontId="35" fillId="0" borderId="1" xfId="0" applyNumberFormat="1" applyFont="1" applyBorder="1" applyAlignment="1">
      <alignment horizontal="center" vertical="center"/>
    </xf>
    <xf numFmtId="0" fontId="41" fillId="0" borderId="1" xfId="0" applyFont="1" applyBorder="1" applyAlignment="1">
      <alignment horizontal="center" vertical="center"/>
    </xf>
    <xf numFmtId="0" fontId="35" fillId="0" borderId="5" xfId="0" applyFont="1" applyBorder="1" applyAlignment="1">
      <alignment vertical="center"/>
    </xf>
    <xf numFmtId="0" fontId="35" fillId="0" borderId="3" xfId="0" applyFont="1" applyBorder="1" applyAlignment="1">
      <alignment vertical="center"/>
    </xf>
    <xf numFmtId="0" fontId="35" fillId="0" borderId="3" xfId="0" applyFont="1" applyBorder="1" applyAlignment="1">
      <alignment vertical="center" wrapText="1"/>
    </xf>
    <xf numFmtId="165" fontId="35" fillId="0" borderId="1" xfId="0" applyNumberFormat="1" applyFont="1" applyBorder="1" applyAlignment="1">
      <alignment horizontal="center" vertical="center"/>
    </xf>
    <xf numFmtId="166" fontId="35" fillId="0" borderId="1" xfId="0" applyNumberFormat="1" applyFont="1" applyBorder="1" applyAlignment="1">
      <alignment horizontal="center" vertical="center" wrapText="1"/>
    </xf>
    <xf numFmtId="0" fontId="35" fillId="0" borderId="2" xfId="0" applyFont="1" applyBorder="1" applyAlignment="1">
      <alignment horizontal="center" vertical="center"/>
    </xf>
    <xf numFmtId="165" fontId="35" fillId="0" borderId="1" xfId="41" applyNumberFormat="1" applyFont="1" applyBorder="1" applyAlignment="1">
      <alignment horizontal="center" vertical="center"/>
    </xf>
    <xf numFmtId="0" fontId="41" fillId="0" borderId="1" xfId="41" applyFont="1" applyBorder="1" applyAlignment="1">
      <alignment vertical="center"/>
    </xf>
    <xf numFmtId="49" fontId="35" fillId="0" borderId="1" xfId="41" applyNumberFormat="1" applyFont="1" applyBorder="1" applyAlignment="1">
      <alignment horizontal="center" vertical="center"/>
    </xf>
    <xf numFmtId="0" fontId="41" fillId="0" borderId="1" xfId="41" applyFont="1" applyBorder="1" applyAlignment="1">
      <alignment horizontal="center" vertical="center"/>
    </xf>
    <xf numFmtId="165" fontId="43" fillId="0" borderId="1" xfId="41" applyNumberFormat="1" applyFont="1" applyBorder="1" applyAlignment="1">
      <alignment horizontal="center" vertical="center"/>
    </xf>
    <xf numFmtId="49" fontId="9" fillId="40" borderId="1" xfId="0" applyNumberFormat="1" applyFont="1" applyFill="1" applyBorder="1" applyAlignment="1">
      <alignment horizontal="center" vertical="center" wrapText="1"/>
    </xf>
    <xf numFmtId="164" fontId="14" fillId="6" borderId="1" xfId="0" applyNumberFormat="1" applyFont="1" applyFill="1" applyBorder="1" applyAlignment="1">
      <alignment horizontal="center" vertical="center" wrapText="1"/>
    </xf>
    <xf numFmtId="0" fontId="14" fillId="6" borderId="1" xfId="0" applyFont="1" applyFill="1" applyBorder="1" applyAlignment="1">
      <alignment vertical="center"/>
    </xf>
    <xf numFmtId="0" fontId="14" fillId="6" borderId="1" xfId="0" applyFont="1" applyFill="1" applyBorder="1" applyAlignment="1">
      <alignment vertical="center" wrapText="1"/>
    </xf>
    <xf numFmtId="49" fontId="14" fillId="6" borderId="1" xfId="0" applyNumberFormat="1" applyFont="1" applyFill="1" applyBorder="1" applyAlignment="1">
      <alignment horizontal="center" vertical="center" wrapText="1"/>
    </xf>
    <xf numFmtId="0" fontId="32" fillId="6" borderId="1" xfId="0" applyFont="1" applyFill="1" applyBorder="1" applyAlignment="1">
      <alignment vertical="center"/>
    </xf>
    <xf numFmtId="0" fontId="9" fillId="41" borderId="0" xfId="0" applyFont="1" applyFill="1" applyAlignment="1">
      <alignment vertical="center" wrapText="1"/>
    </xf>
    <xf numFmtId="164" fontId="9" fillId="41" borderId="1" xfId="0" applyNumberFormat="1" applyFont="1" applyFill="1" applyBorder="1" applyAlignment="1">
      <alignment horizontal="center" vertical="center" wrapText="1"/>
    </xf>
    <xf numFmtId="49" fontId="9" fillId="41" borderId="1" xfId="0" applyNumberFormat="1" applyFont="1" applyFill="1" applyBorder="1" applyAlignment="1">
      <alignment horizontal="center" vertical="center" wrapText="1"/>
    </xf>
    <xf numFmtId="0" fontId="9" fillId="41" borderId="1" xfId="0" applyFont="1" applyFill="1" applyBorder="1" applyAlignment="1">
      <alignment horizontal="center" vertical="center" wrapText="1"/>
    </xf>
    <xf numFmtId="0" fontId="9" fillId="41" borderId="1" xfId="0" applyFont="1" applyFill="1" applyBorder="1" applyAlignment="1">
      <alignment horizontal="center" vertical="center"/>
    </xf>
    <xf numFmtId="0" fontId="9" fillId="40" borderId="1" xfId="0" applyFont="1" applyFill="1" applyBorder="1" applyAlignment="1">
      <alignment vertical="center" wrapText="1"/>
    </xf>
    <xf numFmtId="0" fontId="9" fillId="40" borderId="3" xfId="0" applyFont="1" applyFill="1" applyBorder="1" applyAlignment="1">
      <alignment vertical="center" wrapText="1"/>
    </xf>
    <xf numFmtId="0" fontId="9" fillId="40" borderId="1" xfId="0" applyFont="1" applyFill="1" applyBorder="1" applyAlignment="1">
      <alignment vertical="center"/>
    </xf>
    <xf numFmtId="49" fontId="31" fillId="6" borderId="1" xfId="0" applyNumberFormat="1" applyFont="1" applyFill="1" applyBorder="1" applyAlignment="1">
      <alignment horizontal="center" vertical="center"/>
    </xf>
    <xf numFmtId="0" fontId="31" fillId="41" borderId="1" xfId="0" applyFont="1" applyFill="1" applyBorder="1" applyAlignment="1">
      <alignment vertical="center" wrapText="1"/>
    </xf>
    <xf numFmtId="49" fontId="31" fillId="41" borderId="1" xfId="0" applyNumberFormat="1" applyFont="1" applyFill="1" applyBorder="1" applyAlignment="1">
      <alignment horizontal="center" vertical="center"/>
    </xf>
    <xf numFmtId="0" fontId="31" fillId="41" borderId="1" xfId="0" applyFont="1" applyFill="1" applyBorder="1" applyAlignment="1">
      <alignment horizontal="center" vertical="center"/>
    </xf>
    <xf numFmtId="0" fontId="9" fillId="6" borderId="1" xfId="0" applyFont="1" applyFill="1" applyBorder="1" applyAlignment="1">
      <alignment horizontal="center" vertical="center"/>
    </xf>
    <xf numFmtId="0" fontId="9" fillId="6" borderId="4" xfId="0" applyFont="1" applyFill="1" applyBorder="1" applyAlignment="1">
      <alignment horizontal="left" vertical="center" wrapText="1"/>
    </xf>
    <xf numFmtId="165" fontId="6" fillId="0" borderId="1" xfId="43" applyNumberFormat="1" applyFont="1" applyBorder="1" applyAlignment="1">
      <alignment horizontal="center" vertical="center"/>
    </xf>
    <xf numFmtId="0" fontId="9" fillId="44" borderId="1" xfId="0" applyFont="1" applyFill="1" applyBorder="1" applyAlignment="1">
      <alignment vertical="center" wrapText="1"/>
    </xf>
    <xf numFmtId="0" fontId="9" fillId="44" borderId="1" xfId="0" applyFont="1" applyFill="1" applyBorder="1" applyAlignment="1">
      <alignment vertical="center"/>
    </xf>
    <xf numFmtId="0" fontId="9" fillId="41" borderId="2" xfId="0" applyFont="1" applyFill="1" applyBorder="1" applyAlignment="1">
      <alignment vertical="center"/>
    </xf>
    <xf numFmtId="0" fontId="31" fillId="41" borderId="1" xfId="0" applyFont="1" applyFill="1" applyBorder="1" applyAlignment="1">
      <alignment vertical="center"/>
    </xf>
    <xf numFmtId="0" fontId="9" fillId="41" borderId="5" xfId="0" applyFont="1" applyFill="1" applyBorder="1" applyAlignment="1">
      <alignment vertical="center" wrapText="1"/>
    </xf>
    <xf numFmtId="0" fontId="35" fillId="44" borderId="1" xfId="0" applyFont="1" applyFill="1" applyBorder="1" applyAlignment="1">
      <alignment vertical="center"/>
    </xf>
    <xf numFmtId="0" fontId="35" fillId="44" borderId="1" xfId="0" applyFont="1" applyFill="1" applyBorder="1" applyAlignment="1">
      <alignment vertical="center" wrapText="1"/>
    </xf>
    <xf numFmtId="0" fontId="9" fillId="7" borderId="1" xfId="0" applyFont="1" applyFill="1" applyBorder="1" applyAlignment="1">
      <alignment vertical="center"/>
    </xf>
    <xf numFmtId="0" fontId="35" fillId="7" borderId="1" xfId="0" applyFont="1" applyFill="1" applyBorder="1" applyAlignment="1">
      <alignment vertical="center"/>
    </xf>
    <xf numFmtId="0" fontId="35" fillId="41" borderId="2" xfId="0" applyFont="1" applyFill="1" applyBorder="1" applyAlignment="1">
      <alignment vertical="center"/>
    </xf>
    <xf numFmtId="0" fontId="35" fillId="44" borderId="3" xfId="0" applyFont="1" applyFill="1" applyBorder="1" applyAlignment="1">
      <alignment vertical="center" wrapText="1"/>
    </xf>
    <xf numFmtId="164" fontId="35" fillId="41" borderId="1" xfId="0" applyNumberFormat="1" applyFont="1" applyFill="1" applyBorder="1" applyAlignment="1">
      <alignment horizontal="center" vertical="center" wrapText="1"/>
    </xf>
    <xf numFmtId="49" fontId="35" fillId="41" borderId="1" xfId="0" applyNumberFormat="1" applyFont="1" applyFill="1" applyBorder="1" applyAlignment="1">
      <alignment horizontal="center" vertical="center" wrapText="1"/>
    </xf>
    <xf numFmtId="0" fontId="35" fillId="44" borderId="5" xfId="0" applyFont="1" applyFill="1" applyBorder="1" applyAlignment="1">
      <alignment vertical="center" wrapText="1"/>
    </xf>
    <xf numFmtId="0" fontId="35" fillId="7" borderId="3" xfId="0" applyFont="1" applyFill="1" applyBorder="1" applyAlignment="1">
      <alignment vertical="center"/>
    </xf>
    <xf numFmtId="0" fontId="41" fillId="41" borderId="1" xfId="0" applyFont="1" applyFill="1" applyBorder="1" applyAlignment="1">
      <alignment vertical="center"/>
    </xf>
    <xf numFmtId="0" fontId="41" fillId="41" borderId="1" xfId="0" applyFont="1" applyFill="1" applyBorder="1" applyAlignment="1">
      <alignment horizontal="center" vertical="center"/>
    </xf>
    <xf numFmtId="0" fontId="35" fillId="41" borderId="0" xfId="0" applyFont="1" applyFill="1" applyAlignment="1">
      <alignment vertical="center" wrapText="1"/>
    </xf>
    <xf numFmtId="0" fontId="14" fillId="6" borderId="2" xfId="0" applyFont="1" applyFill="1" applyBorder="1" applyAlignment="1">
      <alignment vertical="center" wrapText="1"/>
    </xf>
    <xf numFmtId="0" fontId="14" fillId="6" borderId="2" xfId="0" applyFont="1" applyFill="1" applyBorder="1" applyAlignment="1">
      <alignment vertical="center"/>
    </xf>
    <xf numFmtId="49" fontId="32" fillId="6" borderId="1" xfId="0" applyNumberFormat="1" applyFont="1" applyFill="1" applyBorder="1" applyAlignment="1">
      <alignment horizontal="center" vertical="center"/>
    </xf>
    <xf numFmtId="0" fontId="14" fillId="6" borderId="5" xfId="0" applyFont="1" applyFill="1" applyBorder="1" applyAlignment="1">
      <alignment vertical="center" wrapText="1"/>
    </xf>
    <xf numFmtId="164" fontId="14" fillId="6" borderId="1" xfId="0" applyNumberFormat="1" applyFont="1" applyFill="1" applyBorder="1" applyAlignment="1">
      <alignment horizontal="left" vertical="center" wrapText="1"/>
    </xf>
    <xf numFmtId="49" fontId="14" fillId="6" borderId="1" xfId="0" applyNumberFormat="1" applyFont="1" applyFill="1" applyBorder="1" applyAlignment="1">
      <alignment horizontal="center" vertical="center"/>
    </xf>
    <xf numFmtId="49" fontId="41" fillId="41" borderId="1" xfId="0" applyNumberFormat="1" applyFont="1" applyFill="1" applyBorder="1" applyAlignment="1">
      <alignment horizontal="center" vertical="center"/>
    </xf>
    <xf numFmtId="0" fontId="14" fillId="6" borderId="3" xfId="0" applyFont="1" applyFill="1" applyBorder="1" applyAlignment="1">
      <alignment vertical="center"/>
    </xf>
    <xf numFmtId="0" fontId="32" fillId="6" borderId="1" xfId="0" applyFont="1" applyFill="1" applyBorder="1" applyAlignment="1">
      <alignment horizontal="center" vertical="center"/>
    </xf>
    <xf numFmtId="49" fontId="35" fillId="41" borderId="1" xfId="0" applyNumberFormat="1" applyFont="1" applyFill="1" applyBorder="1" applyAlignment="1">
      <alignment horizontal="center" vertical="center"/>
    </xf>
    <xf numFmtId="0" fontId="35" fillId="6" borderId="1" xfId="0" applyFont="1" applyFill="1" applyBorder="1" applyAlignment="1">
      <alignment vertical="center" wrapText="1"/>
    </xf>
    <xf numFmtId="49" fontId="35" fillId="0" borderId="1" xfId="0" applyNumberFormat="1" applyFont="1" applyBorder="1" applyAlignment="1">
      <alignment horizontal="center" wrapText="1"/>
    </xf>
    <xf numFmtId="164" fontId="14" fillId="44" borderId="1" xfId="0" applyNumberFormat="1" applyFont="1" applyFill="1" applyBorder="1" applyAlignment="1">
      <alignment horizontal="center" vertical="center" wrapText="1"/>
    </xf>
    <xf numFmtId="0" fontId="14" fillId="44" borderId="1" xfId="0" applyFont="1" applyFill="1" applyBorder="1" applyAlignment="1">
      <alignment vertical="center"/>
    </xf>
    <xf numFmtId="49" fontId="14" fillId="44" borderId="1" xfId="0" applyNumberFormat="1" applyFont="1" applyFill="1" applyBorder="1" applyAlignment="1">
      <alignment horizontal="center" vertical="center" wrapText="1"/>
    </xf>
    <xf numFmtId="0" fontId="14" fillId="44" borderId="1" xfId="0" applyFont="1" applyFill="1" applyBorder="1" applyAlignment="1">
      <alignment horizontal="center" vertical="center" wrapText="1"/>
    </xf>
    <xf numFmtId="0" fontId="14" fillId="44" borderId="1" xfId="0" applyFont="1" applyFill="1" applyBorder="1" applyAlignment="1">
      <alignment vertical="center" wrapText="1"/>
    </xf>
    <xf numFmtId="0" fontId="9" fillId="45" borderId="1" xfId="0" applyFont="1" applyFill="1" applyBorder="1" applyAlignment="1">
      <alignment vertical="center"/>
    </xf>
    <xf numFmtId="0" fontId="9" fillId="7" borderId="1" xfId="0" applyFont="1" applyFill="1" applyBorder="1" applyAlignment="1">
      <alignment horizontal="center" vertical="center" wrapText="1"/>
    </xf>
    <xf numFmtId="0" fontId="9" fillId="7" borderId="1" xfId="0" applyFont="1" applyFill="1" applyBorder="1" applyAlignment="1">
      <alignment vertical="center" wrapText="1"/>
    </xf>
    <xf numFmtId="49" fontId="9" fillId="7" borderId="1" xfId="0" applyNumberFormat="1" applyFont="1" applyFill="1" applyBorder="1" applyAlignment="1">
      <alignment horizontal="center" vertical="center" wrapText="1"/>
    </xf>
    <xf numFmtId="0" fontId="9" fillId="44" borderId="3" xfId="0" applyFont="1" applyFill="1" applyBorder="1" applyAlignment="1">
      <alignment vertical="center" wrapText="1"/>
    </xf>
    <xf numFmtId="0" fontId="9" fillId="45" borderId="1" xfId="0" applyFont="1" applyFill="1" applyBorder="1" applyAlignment="1">
      <alignment vertical="center" wrapText="1"/>
    </xf>
    <xf numFmtId="0" fontId="9" fillId="7" borderId="2" xfId="0" applyFont="1" applyFill="1" applyBorder="1" applyAlignment="1">
      <alignment vertical="center"/>
    </xf>
    <xf numFmtId="0" fontId="9" fillId="7" borderId="2" xfId="0" applyFont="1" applyFill="1" applyBorder="1" applyAlignment="1">
      <alignment vertical="center" wrapText="1"/>
    </xf>
    <xf numFmtId="0" fontId="9" fillId="45" borderId="5" xfId="0" applyFont="1" applyFill="1" applyBorder="1" applyAlignment="1">
      <alignment vertical="center" wrapText="1"/>
    </xf>
    <xf numFmtId="0" fontId="9" fillId="7" borderId="3" xfId="0" applyFont="1" applyFill="1" applyBorder="1" applyAlignment="1">
      <alignment vertical="center"/>
    </xf>
    <xf numFmtId="0" fontId="9" fillId="44" borderId="5" xfId="0" applyFont="1" applyFill="1" applyBorder="1" applyAlignment="1">
      <alignment vertical="center" wrapText="1"/>
    </xf>
    <xf numFmtId="0" fontId="9" fillId="6" borderId="2" xfId="0" applyFont="1" applyFill="1" applyBorder="1" applyAlignment="1">
      <alignment vertical="center"/>
    </xf>
    <xf numFmtId="0" fontId="31" fillId="40" borderId="1" xfId="0" applyFont="1" applyFill="1" applyBorder="1" applyAlignment="1">
      <alignment horizontal="center" vertical="center"/>
    </xf>
    <xf numFmtId="0" fontId="35" fillId="41" borderId="1" xfId="0" applyFont="1" applyFill="1" applyBorder="1" applyAlignment="1">
      <alignment horizontal="center" vertical="center"/>
    </xf>
    <xf numFmtId="0" fontId="45" fillId="0" borderId="5" xfId="0" applyFont="1" applyBorder="1" applyAlignment="1">
      <alignment vertical="center" wrapText="1"/>
    </xf>
    <xf numFmtId="0" fontId="45" fillId="0" borderId="1" xfId="0" applyFont="1" applyBorder="1" applyAlignment="1">
      <alignment vertical="center" wrapText="1"/>
    </xf>
    <xf numFmtId="164" fontId="35" fillId="0" borderId="1" xfId="0" applyNumberFormat="1" applyFont="1" applyBorder="1" applyAlignment="1">
      <alignment horizontal="left" vertical="center" wrapText="1"/>
    </xf>
    <xf numFmtId="0" fontId="35" fillId="41" borderId="3" xfId="0" applyFont="1" applyFill="1" applyBorder="1" applyAlignment="1">
      <alignment vertical="center"/>
    </xf>
    <xf numFmtId="0" fontId="35" fillId="41" borderId="3" xfId="0" applyFont="1" applyFill="1" applyBorder="1" applyAlignment="1">
      <alignment vertical="center" wrapText="1"/>
    </xf>
    <xf numFmtId="0" fontId="8" fillId="0" borderId="0" xfId="0" applyFont="1" applyAlignment="1">
      <alignment horizontal="left" vertical="center" wrapText="1"/>
    </xf>
    <xf numFmtId="0" fontId="9" fillId="0" borderId="2" xfId="0" applyFont="1" applyBorder="1" applyAlignment="1">
      <alignment horizontal="left" vertical="center" wrapText="1"/>
    </xf>
    <xf numFmtId="0" fontId="9" fillId="0" borderId="6" xfId="0" applyFont="1" applyBorder="1" applyAlignment="1">
      <alignment horizontal="left" vertical="center" wrapText="1"/>
    </xf>
    <xf numFmtId="0" fontId="9" fillId="0" borderId="5" xfId="0" applyFont="1" applyBorder="1" applyAlignment="1">
      <alignment horizontal="left" vertical="center" wrapText="1"/>
    </xf>
    <xf numFmtId="0" fontId="3" fillId="0" borderId="20" xfId="44" applyBorder="1" applyAlignment="1">
      <alignment horizontal="left"/>
    </xf>
    <xf numFmtId="0" fontId="41" fillId="0" borderId="1" xfId="0" applyFont="1" applyBorder="1" applyAlignment="1">
      <alignment horizontal="left" vertical="center" wrapText="1"/>
    </xf>
    <xf numFmtId="1" fontId="35" fillId="0" borderId="1" xfId="0" applyNumberFormat="1" applyFont="1" applyBorder="1" applyAlignment="1">
      <alignment horizontal="center" vertical="center"/>
    </xf>
    <xf numFmtId="49" fontId="35" fillId="44" borderId="1" xfId="0" applyNumberFormat="1" applyFont="1" applyFill="1" applyBorder="1" applyAlignment="1">
      <alignment horizontal="center" vertical="center" wrapText="1"/>
    </xf>
    <xf numFmtId="0" fontId="35" fillId="44" borderId="1" xfId="0" applyFont="1" applyFill="1" applyBorder="1" applyAlignment="1">
      <alignment horizontal="center" vertical="center" wrapText="1"/>
    </xf>
    <xf numFmtId="0" fontId="35" fillId="46" borderId="1" xfId="0" applyFont="1" applyFill="1" applyBorder="1" applyAlignment="1">
      <alignment vertical="center"/>
    </xf>
    <xf numFmtId="0" fontId="35" fillId="46" borderId="1" xfId="0" applyFont="1" applyFill="1" applyBorder="1" applyAlignment="1">
      <alignment vertical="center" wrapText="1"/>
    </xf>
    <xf numFmtId="0" fontId="9" fillId="46" borderId="1" xfId="0" applyFont="1" applyFill="1" applyBorder="1" applyAlignment="1">
      <alignment vertical="center"/>
    </xf>
    <xf numFmtId="49" fontId="9" fillId="46" borderId="1" xfId="0" applyNumberFormat="1" applyFont="1" applyFill="1" applyBorder="1" applyAlignment="1">
      <alignment horizontal="center" vertical="center" wrapText="1"/>
    </xf>
    <xf numFmtId="0" fontId="9" fillId="46" borderId="1" xfId="0" applyFont="1" applyFill="1" applyBorder="1" applyAlignment="1">
      <alignment horizontal="center" vertical="center" wrapText="1"/>
    </xf>
    <xf numFmtId="0" fontId="9" fillId="46" borderId="1" xfId="0" applyFont="1" applyFill="1" applyBorder="1" applyAlignment="1">
      <alignment vertical="center" wrapText="1"/>
    </xf>
    <xf numFmtId="0" fontId="40" fillId="42" borderId="1" xfId="44" applyFont="1" applyFill="1" applyBorder="1" applyAlignment="1">
      <alignment horizontal="center" vertical="center"/>
    </xf>
    <xf numFmtId="0" fontId="35" fillId="41" borderId="5" xfId="0" applyFont="1" applyFill="1" applyBorder="1" applyAlignment="1">
      <alignment vertical="center" wrapText="1"/>
    </xf>
    <xf numFmtId="1" fontId="9" fillId="41" borderId="1" xfId="0" applyNumberFormat="1" applyFont="1" applyFill="1" applyBorder="1" applyAlignment="1">
      <alignment horizontal="center" vertical="center"/>
    </xf>
    <xf numFmtId="0" fontId="46" fillId="0" borderId="0" xfId="0" applyFont="1" applyAlignment="1">
      <alignment vertical="center" wrapText="1"/>
    </xf>
    <xf numFmtId="0" fontId="35" fillId="0" borderId="2" xfId="0" applyFont="1" applyBorder="1" applyAlignment="1">
      <alignment vertical="center" wrapText="1"/>
    </xf>
    <xf numFmtId="0" fontId="35" fillId="6" borderId="1" xfId="0" applyFont="1" applyFill="1" applyBorder="1" applyAlignment="1">
      <alignment vertical="center"/>
    </xf>
    <xf numFmtId="16" fontId="0" fillId="0" borderId="1" xfId="0" applyNumberFormat="1" applyBorder="1" applyAlignment="1">
      <alignment horizontal="center"/>
    </xf>
    <xf numFmtId="0" fontId="34" fillId="0" borderId="1" xfId="0" applyFont="1" applyBorder="1" applyAlignment="1">
      <alignment horizontal="left"/>
    </xf>
    <xf numFmtId="16" fontId="34" fillId="0" borderId="1" xfId="0" applyNumberFormat="1" applyFont="1" applyBorder="1" applyAlignment="1">
      <alignment horizontal="center" vertical="center" wrapText="1"/>
    </xf>
    <xf numFmtId="0" fontId="34" fillId="0" borderId="1" xfId="0" applyFont="1" applyBorder="1" applyAlignment="1">
      <alignment vertical="center" wrapText="1"/>
    </xf>
    <xf numFmtId="0" fontId="34" fillId="0" borderId="1" xfId="0" applyFont="1" applyBorder="1"/>
    <xf numFmtId="0" fontId="34" fillId="0" borderId="1" xfId="0" applyFont="1" applyBorder="1" applyAlignment="1">
      <alignment wrapText="1"/>
    </xf>
    <xf numFmtId="0" fontId="34" fillId="0" borderId="1" xfId="0" applyFont="1" applyBorder="1" applyAlignment="1">
      <alignment vertical="center"/>
    </xf>
    <xf numFmtId="0" fontId="9" fillId="0" borderId="1" xfId="0" applyFont="1" applyBorder="1" applyAlignment="1">
      <alignment horizontal="center"/>
    </xf>
    <xf numFmtId="164" fontId="9" fillId="43" borderId="1" xfId="0" applyNumberFormat="1" applyFont="1" applyFill="1" applyBorder="1" applyAlignment="1">
      <alignment horizontal="center" vertical="center" wrapText="1"/>
    </xf>
    <xf numFmtId="0" fontId="35" fillId="43" borderId="1" xfId="0" applyFont="1" applyFill="1" applyBorder="1" applyAlignment="1">
      <alignment vertical="center"/>
    </xf>
    <xf numFmtId="0" fontId="41" fillId="43" borderId="1" xfId="0" applyFont="1" applyFill="1" applyBorder="1" applyAlignment="1">
      <alignment vertical="center"/>
    </xf>
    <xf numFmtId="49" fontId="35" fillId="43" borderId="1" xfId="0" applyNumberFormat="1" applyFont="1" applyFill="1" applyBorder="1" applyAlignment="1">
      <alignment horizontal="center" vertical="center"/>
    </xf>
    <xf numFmtId="0" fontId="35" fillId="43" borderId="1" xfId="0" applyFont="1" applyFill="1" applyBorder="1" applyAlignment="1">
      <alignment horizontal="center" vertical="center" wrapText="1"/>
    </xf>
    <xf numFmtId="0" fontId="41" fillId="43" borderId="1" xfId="0" applyFont="1" applyFill="1" applyBorder="1" applyAlignment="1">
      <alignment horizontal="center" vertical="center"/>
    </xf>
    <xf numFmtId="0" fontId="35" fillId="43" borderId="1" xfId="0" applyFont="1" applyFill="1" applyBorder="1" applyAlignment="1">
      <alignment vertical="center" wrapText="1"/>
    </xf>
    <xf numFmtId="0" fontId="9" fillId="43" borderId="0" xfId="0" applyFont="1" applyFill="1" applyAlignment="1">
      <alignment vertical="center" wrapText="1"/>
    </xf>
    <xf numFmtId="164" fontId="35" fillId="6" borderId="1" xfId="0" applyNumberFormat="1" applyFont="1" applyFill="1" applyBorder="1" applyAlignment="1">
      <alignment horizontal="center" vertical="center" wrapText="1"/>
    </xf>
    <xf numFmtId="0" fontId="35" fillId="6" borderId="5" xfId="0" applyFont="1" applyFill="1" applyBorder="1" applyAlignment="1">
      <alignment vertical="center" wrapText="1"/>
    </xf>
    <xf numFmtId="1" fontId="35" fillId="41" borderId="1" xfId="0" applyNumberFormat="1" applyFont="1" applyFill="1" applyBorder="1" applyAlignment="1">
      <alignment horizontal="center" vertical="center"/>
    </xf>
    <xf numFmtId="0" fontId="9" fillId="6" borderId="1" xfId="0" applyFont="1" applyFill="1" applyBorder="1" applyAlignment="1">
      <alignment vertical="center" wrapText="1"/>
    </xf>
    <xf numFmtId="0" fontId="9" fillId="2" borderId="2" xfId="0" applyFont="1" applyFill="1" applyBorder="1" applyAlignment="1">
      <alignment vertical="center" wrapText="1"/>
    </xf>
    <xf numFmtId="164" fontId="9" fillId="0" borderId="2" xfId="0" applyNumberFormat="1" applyFont="1" applyBorder="1" applyAlignment="1">
      <alignment horizontal="center" vertical="center" wrapText="1"/>
    </xf>
    <xf numFmtId="164" fontId="9" fillId="41" borderId="2" xfId="0" applyNumberFormat="1" applyFont="1" applyFill="1" applyBorder="1" applyAlignment="1">
      <alignment horizontal="center" vertical="center" wrapText="1"/>
    </xf>
    <xf numFmtId="164" fontId="35" fillId="0" borderId="2" xfId="0" applyNumberFormat="1" applyFont="1" applyBorder="1" applyAlignment="1">
      <alignment horizontal="center" vertical="center" wrapText="1"/>
    </xf>
    <xf numFmtId="164" fontId="35" fillId="41" borderId="2" xfId="0" applyNumberFormat="1" applyFont="1" applyFill="1" applyBorder="1" applyAlignment="1">
      <alignment horizontal="center" vertical="center" wrapText="1"/>
    </xf>
    <xf numFmtId="164" fontId="9" fillId="41" borderId="3" xfId="0" applyNumberFormat="1" applyFont="1" applyFill="1" applyBorder="1" applyAlignment="1">
      <alignment horizontal="center" vertical="center" wrapText="1"/>
    </xf>
    <xf numFmtId="164" fontId="35" fillId="0" borderId="3" xfId="0" applyNumberFormat="1" applyFont="1" applyBorder="1" applyAlignment="1">
      <alignment horizontal="center" vertical="center" wrapText="1"/>
    </xf>
    <xf numFmtId="164" fontId="35" fillId="41" borderId="3" xfId="0" applyNumberFormat="1" applyFont="1" applyFill="1" applyBorder="1" applyAlignment="1">
      <alignment horizontal="center" vertical="center" wrapText="1"/>
    </xf>
    <xf numFmtId="164" fontId="35" fillId="0" borderId="0" xfId="0" applyNumberFormat="1" applyFont="1" applyAlignment="1">
      <alignment horizontal="center" vertical="center" wrapText="1"/>
    </xf>
    <xf numFmtId="49" fontId="35" fillId="0" borderId="2" xfId="0" applyNumberFormat="1" applyFont="1" applyBorder="1" applyAlignment="1">
      <alignment horizontal="center" vertical="center" wrapText="1"/>
    </xf>
    <xf numFmtId="49" fontId="9" fillId="2" borderId="1" xfId="0" applyNumberFormat="1" applyFont="1" applyFill="1" applyBorder="1" applyAlignment="1">
      <alignment vertical="center" wrapText="1"/>
    </xf>
    <xf numFmtId="49" fontId="9" fillId="41" borderId="1" xfId="0" applyNumberFormat="1" applyFont="1" applyFill="1" applyBorder="1" applyAlignment="1">
      <alignment horizontal="center" vertical="center"/>
    </xf>
    <xf numFmtId="49" fontId="41" fillId="43" borderId="1" xfId="0" applyNumberFormat="1" applyFont="1" applyFill="1" applyBorder="1" applyAlignment="1">
      <alignment horizontal="center" vertical="center"/>
    </xf>
    <xf numFmtId="49" fontId="14" fillId="41" borderId="1" xfId="0" applyNumberFormat="1" applyFont="1" applyFill="1" applyBorder="1" applyAlignment="1">
      <alignment horizontal="center" vertical="center" wrapText="1"/>
    </xf>
    <xf numFmtId="49" fontId="41" fillId="0" borderId="1" xfId="41" applyNumberFormat="1" applyFont="1" applyBorder="1" applyAlignment="1">
      <alignment horizontal="center" vertical="center"/>
    </xf>
    <xf numFmtId="16" fontId="35" fillId="0" borderId="0" xfId="0" applyNumberFormat="1" applyFont="1" applyAlignment="1">
      <alignment vertical="center" wrapText="1"/>
    </xf>
    <xf numFmtId="49" fontId="9" fillId="47" borderId="1" xfId="0" applyNumberFormat="1" applyFont="1" applyFill="1" applyBorder="1" applyAlignment="1">
      <alignment horizontal="center" vertical="center" wrapText="1"/>
    </xf>
    <xf numFmtId="0" fontId="9" fillId="47" borderId="1" xfId="0" applyFont="1" applyFill="1" applyBorder="1" applyAlignment="1">
      <alignment horizontal="center" vertical="center" wrapText="1"/>
    </xf>
    <xf numFmtId="0" fontId="9" fillId="47" borderId="1" xfId="0" applyFont="1" applyFill="1" applyBorder="1" applyAlignment="1">
      <alignment vertical="center"/>
    </xf>
    <xf numFmtId="0" fontId="9" fillId="43" borderId="1" xfId="0" applyFont="1" applyFill="1" applyBorder="1" applyAlignment="1">
      <alignment vertical="center"/>
    </xf>
    <xf numFmtId="49" fontId="9" fillId="43" borderId="1" xfId="0" applyNumberFormat="1" applyFont="1" applyFill="1" applyBorder="1" applyAlignment="1">
      <alignment horizontal="center" vertical="center" wrapText="1"/>
    </xf>
    <xf numFmtId="0" fontId="9" fillId="43" borderId="1" xfId="0" applyFont="1" applyFill="1" applyBorder="1" applyAlignment="1">
      <alignment horizontal="center" vertical="center" wrapText="1"/>
    </xf>
    <xf numFmtId="0" fontId="9" fillId="43" borderId="1" xfId="0" applyFont="1" applyFill="1" applyBorder="1" applyAlignment="1">
      <alignment horizontal="center" vertical="center"/>
    </xf>
    <xf numFmtId="49" fontId="9" fillId="43" borderId="1" xfId="0" applyNumberFormat="1" applyFont="1" applyFill="1" applyBorder="1" applyAlignment="1">
      <alignment horizontal="center" vertical="center"/>
    </xf>
    <xf numFmtId="0" fontId="9" fillId="43" borderId="1" xfId="0" applyFont="1" applyFill="1" applyBorder="1" applyAlignment="1">
      <alignment vertical="center" wrapText="1"/>
    </xf>
    <xf numFmtId="0" fontId="35" fillId="43" borderId="0" xfId="0" applyFont="1" applyFill="1" applyAlignment="1">
      <alignment vertical="center" wrapText="1"/>
    </xf>
    <xf numFmtId="0" fontId="35" fillId="6" borderId="0" xfId="0" applyFont="1" applyFill="1" applyAlignment="1">
      <alignment vertical="center" wrapText="1"/>
    </xf>
    <xf numFmtId="8" fontId="0" fillId="0" borderId="0" xfId="0" applyNumberFormat="1" applyAlignment="1">
      <alignment vertical="center"/>
    </xf>
    <xf numFmtId="0" fontId="0" fillId="0" borderId="0" xfId="0" applyAlignment="1">
      <alignment vertical="center"/>
    </xf>
    <xf numFmtId="0" fontId="0" fillId="0" borderId="0" xfId="0" applyAlignment="1">
      <alignment vertical="center" wrapText="1"/>
    </xf>
    <xf numFmtId="49" fontId="35" fillId="6" borderId="1" xfId="0" applyNumberFormat="1" applyFont="1" applyFill="1" applyBorder="1" applyAlignment="1">
      <alignment horizontal="center" vertical="center" wrapText="1"/>
    </xf>
    <xf numFmtId="0" fontId="35" fillId="6" borderId="1" xfId="0" applyFont="1" applyFill="1" applyBorder="1" applyAlignment="1">
      <alignment horizontal="center" vertical="center" wrapText="1"/>
    </xf>
    <xf numFmtId="0" fontId="35" fillId="6" borderId="3" xfId="0" applyFont="1" applyFill="1" applyBorder="1" applyAlignment="1">
      <alignment vertical="center" wrapText="1"/>
    </xf>
    <xf numFmtId="0" fontId="35" fillId="6" borderId="3" xfId="0" applyFont="1" applyFill="1" applyBorder="1" applyAlignment="1">
      <alignment vertical="center"/>
    </xf>
    <xf numFmtId="9" fontId="35" fillId="0" borderId="0" xfId="63" applyFont="1" applyFill="1" applyAlignment="1">
      <alignment vertical="center" wrapText="1"/>
    </xf>
    <xf numFmtId="164" fontId="35" fillId="48" borderId="1" xfId="0" applyNumberFormat="1" applyFont="1" applyFill="1" applyBorder="1" applyAlignment="1">
      <alignment horizontal="center" vertical="center" wrapText="1"/>
    </xf>
    <xf numFmtId="49" fontId="35" fillId="48" borderId="1" xfId="0" applyNumberFormat="1" applyFont="1" applyFill="1" applyBorder="1" applyAlignment="1">
      <alignment horizontal="center" vertical="center" wrapText="1"/>
    </xf>
    <xf numFmtId="0" fontId="35" fillId="48" borderId="1" xfId="0" applyFont="1" applyFill="1" applyBorder="1" applyAlignment="1">
      <alignment horizontal="center" vertical="center" wrapText="1"/>
    </xf>
    <xf numFmtId="0" fontId="35" fillId="48" borderId="1" xfId="0" applyFont="1" applyFill="1" applyBorder="1" applyAlignment="1">
      <alignment vertical="center" wrapText="1"/>
    </xf>
    <xf numFmtId="164" fontId="35" fillId="48" borderId="2" xfId="0" applyNumberFormat="1" applyFont="1" applyFill="1" applyBorder="1" applyAlignment="1">
      <alignment horizontal="center" vertical="center" wrapText="1"/>
    </xf>
    <xf numFmtId="0" fontId="35" fillId="48" borderId="2" xfId="0" applyFont="1" applyFill="1" applyBorder="1" applyAlignment="1">
      <alignment vertical="center"/>
    </xf>
    <xf numFmtId="0" fontId="41" fillId="48" borderId="1" xfId="0" applyFont="1" applyFill="1" applyBorder="1" applyAlignment="1">
      <alignment vertical="center"/>
    </xf>
    <xf numFmtId="0" fontId="9" fillId="48" borderId="1" xfId="0" applyFont="1" applyFill="1" applyBorder="1" applyAlignment="1">
      <alignment vertical="center" wrapText="1"/>
    </xf>
    <xf numFmtId="164" fontId="35" fillId="0" borderId="6" xfId="0" applyNumberFormat="1" applyFont="1" applyBorder="1" applyAlignment="1">
      <alignment horizontal="center" vertical="center" wrapText="1"/>
    </xf>
    <xf numFmtId="164" fontId="35" fillId="0" borderId="5" xfId="0" applyNumberFormat="1" applyFont="1" applyBorder="1" applyAlignment="1">
      <alignment horizontal="center" vertical="center" wrapText="1"/>
    </xf>
    <xf numFmtId="1" fontId="35" fillId="48" borderId="1" xfId="0" applyNumberFormat="1" applyFont="1" applyFill="1" applyBorder="1" applyAlignment="1">
      <alignment horizontal="center" vertical="center" wrapText="1"/>
    </xf>
    <xf numFmtId="164" fontId="35" fillId="6" borderId="2" xfId="0" applyNumberFormat="1" applyFont="1" applyFill="1" applyBorder="1" applyAlignment="1">
      <alignment horizontal="center" vertical="center" wrapText="1"/>
    </xf>
    <xf numFmtId="0" fontId="35" fillId="6" borderId="2" xfId="0" applyFont="1" applyFill="1" applyBorder="1" applyAlignment="1">
      <alignment vertical="center"/>
    </xf>
    <xf numFmtId="0" fontId="41" fillId="6" borderId="1" xfId="0" applyFont="1" applyFill="1" applyBorder="1" applyAlignment="1">
      <alignment vertical="center"/>
    </xf>
    <xf numFmtId="49" fontId="41" fillId="6" borderId="1" xfId="0" applyNumberFormat="1" applyFont="1" applyFill="1" applyBorder="1" applyAlignment="1">
      <alignment horizontal="center" vertical="center"/>
    </xf>
    <xf numFmtId="0" fontId="35" fillId="6" borderId="1" xfId="0" applyFont="1" applyFill="1" applyBorder="1" applyAlignment="1">
      <alignment horizontal="center" vertical="center"/>
    </xf>
    <xf numFmtId="49" fontId="35" fillId="6" borderId="1" xfId="0" applyNumberFormat="1" applyFont="1" applyFill="1" applyBorder="1" applyAlignment="1">
      <alignment horizontal="center" vertical="center"/>
    </xf>
    <xf numFmtId="1" fontId="35" fillId="6" borderId="1" xfId="0" applyNumberFormat="1" applyFont="1" applyFill="1" applyBorder="1" applyAlignment="1">
      <alignment horizontal="center" vertical="center" wrapText="1"/>
    </xf>
    <xf numFmtId="1" fontId="35" fillId="6" borderId="1" xfId="0" applyNumberFormat="1" applyFont="1" applyFill="1" applyBorder="1" applyAlignment="1">
      <alignment horizontal="center" vertical="center"/>
    </xf>
    <xf numFmtId="164" fontId="35" fillId="47" borderId="1" xfId="0" applyNumberFormat="1" applyFont="1" applyFill="1" applyBorder="1" applyAlignment="1">
      <alignment horizontal="center" vertical="center" wrapText="1"/>
    </xf>
    <xf numFmtId="0" fontId="35" fillId="47" borderId="1" xfId="0" applyFont="1" applyFill="1" applyBorder="1" applyAlignment="1">
      <alignment vertical="center"/>
    </xf>
    <xf numFmtId="0" fontId="35" fillId="47" borderId="3" xfId="0" applyFont="1" applyFill="1" applyBorder="1" applyAlignment="1">
      <alignment vertical="center"/>
    </xf>
    <xf numFmtId="49" fontId="35" fillId="47" borderId="1" xfId="0" applyNumberFormat="1" applyFont="1" applyFill="1" applyBorder="1" applyAlignment="1">
      <alignment horizontal="center" vertical="center" wrapText="1"/>
    </xf>
    <xf numFmtId="0" fontId="35" fillId="47" borderId="1" xfId="0" applyFont="1" applyFill="1" applyBorder="1" applyAlignment="1">
      <alignment horizontal="center" vertical="center" wrapText="1"/>
    </xf>
    <xf numFmtId="0" fontId="35" fillId="47" borderId="1" xfId="0" applyFont="1" applyFill="1" applyBorder="1" applyAlignment="1">
      <alignment vertical="center" wrapText="1"/>
    </xf>
    <xf numFmtId="164" fontId="35" fillId="47" borderId="2" xfId="0" applyNumberFormat="1" applyFont="1" applyFill="1" applyBorder="1" applyAlignment="1">
      <alignment horizontal="center" vertical="center" wrapText="1"/>
    </xf>
    <xf numFmtId="0" fontId="35" fillId="47" borderId="2" xfId="0" applyFont="1" applyFill="1" applyBorder="1" applyAlignment="1">
      <alignment vertical="center"/>
    </xf>
    <xf numFmtId="1" fontId="35" fillId="47" borderId="1" xfId="0" applyNumberFormat="1" applyFont="1" applyFill="1" applyBorder="1" applyAlignment="1">
      <alignment horizontal="center" vertical="center" wrapText="1"/>
    </xf>
    <xf numFmtId="1" fontId="35" fillId="47" borderId="1" xfId="0" applyNumberFormat="1" applyFont="1" applyFill="1" applyBorder="1" applyAlignment="1">
      <alignment horizontal="center" vertical="center"/>
    </xf>
    <xf numFmtId="0" fontId="35" fillId="47" borderId="1" xfId="0" applyFont="1" applyFill="1" applyBorder="1" applyAlignment="1">
      <alignment horizontal="center" vertical="center"/>
    </xf>
    <xf numFmtId="49" fontId="35" fillId="47" borderId="1" xfId="0" applyNumberFormat="1" applyFont="1" applyFill="1" applyBorder="1" applyAlignment="1">
      <alignment horizontal="center" vertical="center"/>
    </xf>
    <xf numFmtId="0" fontId="41" fillId="47" borderId="1" xfId="0" applyFont="1" applyFill="1" applyBorder="1" applyAlignment="1">
      <alignment vertical="center"/>
    </xf>
    <xf numFmtId="49" fontId="41" fillId="47" borderId="1" xfId="0" applyNumberFormat="1" applyFont="1" applyFill="1" applyBorder="1" applyAlignment="1">
      <alignment horizontal="center" vertical="center"/>
    </xf>
    <xf numFmtId="0" fontId="35" fillId="47" borderId="5" xfId="0" applyFont="1" applyFill="1" applyBorder="1" applyAlignment="1">
      <alignment vertical="center" wrapText="1"/>
    </xf>
    <xf numFmtId="0" fontId="35" fillId="47" borderId="3" xfId="0" applyFont="1" applyFill="1" applyBorder="1" applyAlignment="1">
      <alignment vertical="center" wrapText="1"/>
    </xf>
    <xf numFmtId="0" fontId="8" fillId="0" borderId="0" xfId="0" applyFont="1" applyAlignment="1">
      <alignment horizontal="left" vertical="center" wrapText="1"/>
    </xf>
    <xf numFmtId="164" fontId="35" fillId="0" borderId="2" xfId="0" applyNumberFormat="1" applyFont="1" applyBorder="1" applyAlignment="1">
      <alignment horizontal="center" vertical="center" wrapText="1"/>
    </xf>
    <xf numFmtId="164" fontId="35" fillId="0" borderId="6" xfId="0" applyNumberFormat="1" applyFont="1" applyBorder="1" applyAlignment="1">
      <alignment horizontal="center" vertical="center" wrapText="1"/>
    </xf>
    <xf numFmtId="164" fontId="35" fillId="0" borderId="5" xfId="0" applyNumberFormat="1" applyFont="1" applyBorder="1" applyAlignment="1">
      <alignment horizontal="center" vertical="center" wrapText="1"/>
    </xf>
    <xf numFmtId="0" fontId="9" fillId="0" borderId="2" xfId="0" applyFont="1" applyBorder="1" applyAlignment="1">
      <alignment horizontal="left" vertical="center" wrapText="1"/>
    </xf>
    <xf numFmtId="0" fontId="9" fillId="0" borderId="6" xfId="0" applyFont="1" applyBorder="1" applyAlignment="1">
      <alignment horizontal="left" vertical="center" wrapText="1"/>
    </xf>
    <xf numFmtId="0" fontId="9" fillId="0" borderId="5" xfId="0" applyFont="1" applyBorder="1" applyAlignment="1">
      <alignment horizontal="left" vertical="center" wrapText="1"/>
    </xf>
    <xf numFmtId="0" fontId="33" fillId="0" borderId="2" xfId="0" applyFont="1" applyBorder="1" applyAlignment="1">
      <alignment horizontal="left" vertical="center" wrapText="1"/>
    </xf>
    <xf numFmtId="0" fontId="33" fillId="0" borderId="6" xfId="0" applyFont="1" applyBorder="1" applyAlignment="1">
      <alignment horizontal="left" vertical="center" wrapText="1"/>
    </xf>
    <xf numFmtId="0" fontId="9" fillId="0" borderId="2" xfId="0" applyFont="1" applyBorder="1" applyAlignment="1">
      <alignment horizontal="center" vertical="center" wrapText="1"/>
    </xf>
    <xf numFmtId="0" fontId="9" fillId="0" borderId="6" xfId="0" applyFont="1" applyBorder="1" applyAlignment="1">
      <alignment horizontal="center" vertical="center" wrapText="1"/>
    </xf>
    <xf numFmtId="0" fontId="9" fillId="0" borderId="5"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5"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5" xfId="0" applyFont="1" applyBorder="1" applyAlignment="1">
      <alignment horizontal="center" vertical="center" wrapText="1"/>
    </xf>
    <xf numFmtId="0" fontId="35" fillId="0" borderId="3" xfId="0" applyFont="1" applyBorder="1" applyAlignment="1">
      <alignment horizontal="center" vertical="center" wrapText="1"/>
    </xf>
    <xf numFmtId="0" fontId="35" fillId="0" borderId="4" xfId="0" applyFont="1" applyBorder="1" applyAlignment="1">
      <alignment horizontal="center" vertical="center" wrapText="1"/>
    </xf>
    <xf numFmtId="0" fontId="35" fillId="0" borderId="2" xfId="0" applyFont="1" applyBorder="1" applyAlignment="1">
      <alignment horizontal="center" vertical="top" wrapText="1"/>
    </xf>
    <xf numFmtId="0" fontId="35" fillId="0" borderId="6" xfId="0" applyFont="1" applyBorder="1" applyAlignment="1">
      <alignment horizontal="center" vertical="top" wrapText="1"/>
    </xf>
    <xf numFmtId="0" fontId="35" fillId="0" borderId="5" xfId="0" applyFont="1" applyBorder="1" applyAlignment="1">
      <alignment horizontal="center" vertical="top" wrapText="1"/>
    </xf>
    <xf numFmtId="0" fontId="9" fillId="2" borderId="2"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2" fillId="0" borderId="1" xfId="44" applyFont="1" applyBorder="1" applyAlignment="1">
      <alignment horizontal="left" vertical="center" wrapText="1"/>
    </xf>
    <xf numFmtId="0" fontId="3" fillId="0" borderId="1" xfId="44" applyBorder="1" applyAlignment="1">
      <alignment horizontal="left" vertical="center" wrapText="1"/>
    </xf>
    <xf numFmtId="0" fontId="29" fillId="0" borderId="1" xfId="44" applyFont="1" applyBorder="1" applyAlignment="1">
      <alignment horizontal="left"/>
    </xf>
    <xf numFmtId="0" fontId="29" fillId="0" borderId="1" xfId="44" applyFont="1" applyBorder="1" applyAlignment="1">
      <alignment horizontal="left" vertical="center" wrapText="1"/>
    </xf>
    <xf numFmtId="0" fontId="29" fillId="0" borderId="2" xfId="44" applyFont="1" applyBorder="1" applyAlignment="1">
      <alignment horizontal="left" vertical="center" wrapText="1"/>
    </xf>
    <xf numFmtId="0" fontId="29" fillId="0" borderId="6" xfId="44" applyFont="1" applyBorder="1" applyAlignment="1">
      <alignment horizontal="left" vertical="center" wrapText="1"/>
    </xf>
    <xf numFmtId="0" fontId="29" fillId="0" borderId="5" xfId="44" applyFont="1" applyBorder="1" applyAlignment="1">
      <alignment horizontal="left" vertical="center" wrapText="1"/>
    </xf>
    <xf numFmtId="0" fontId="3" fillId="0" borderId="1" xfId="44" applyBorder="1" applyAlignment="1">
      <alignment horizontal="left"/>
    </xf>
    <xf numFmtId="0" fontId="3" fillId="0" borderId="2" xfId="44" applyBorder="1" applyAlignment="1">
      <alignment horizontal="left" vertical="center" wrapText="1"/>
    </xf>
    <xf numFmtId="0" fontId="3" fillId="0" borderId="6" xfId="44" applyBorder="1" applyAlignment="1">
      <alignment horizontal="left" vertical="center" wrapText="1"/>
    </xf>
    <xf numFmtId="0" fontId="3" fillId="0" borderId="20" xfId="44" applyBorder="1" applyAlignment="1">
      <alignment horizontal="left"/>
    </xf>
    <xf numFmtId="0" fontId="3" fillId="0" borderId="0" xfId="44" applyAlignment="1">
      <alignment horizontal="left"/>
    </xf>
    <xf numFmtId="0" fontId="29" fillId="0" borderId="2" xfId="44" applyFont="1" applyBorder="1" applyAlignment="1">
      <alignment horizontal="left"/>
    </xf>
    <xf numFmtId="0" fontId="29" fillId="0" borderId="6" xfId="44" applyFont="1" applyBorder="1" applyAlignment="1">
      <alignment horizontal="left"/>
    </xf>
    <xf numFmtId="0" fontId="29" fillId="0" borderId="5" xfId="44" applyFont="1" applyBorder="1" applyAlignment="1">
      <alignment horizontal="left"/>
    </xf>
    <xf numFmtId="0" fontId="3" fillId="0" borderId="2" xfId="44" applyBorder="1" applyAlignment="1">
      <alignment horizontal="left"/>
    </xf>
    <xf numFmtId="0" fontId="3" fillId="0" borderId="6" xfId="44" applyBorder="1" applyAlignment="1">
      <alignment horizontal="left"/>
    </xf>
    <xf numFmtId="0" fontId="14" fillId="6" borderId="3" xfId="0" applyFont="1" applyFill="1" applyBorder="1" applyAlignment="1">
      <alignment horizontal="center" vertical="center" wrapText="1"/>
    </xf>
    <xf numFmtId="0" fontId="14" fillId="6" borderId="4" xfId="0" applyFont="1" applyFill="1" applyBorder="1" applyAlignment="1">
      <alignment horizontal="center" vertical="center" wrapText="1"/>
    </xf>
    <xf numFmtId="0" fontId="14" fillId="6" borderId="2" xfId="0" applyFont="1" applyFill="1" applyBorder="1" applyAlignment="1">
      <alignment horizontal="center" vertical="top" wrapText="1"/>
    </xf>
    <xf numFmtId="0" fontId="14" fillId="6" borderId="6" xfId="0" applyFont="1" applyFill="1" applyBorder="1" applyAlignment="1">
      <alignment horizontal="center" vertical="top" wrapText="1"/>
    </xf>
    <xf numFmtId="0" fontId="14" fillId="6" borderId="5" xfId="0" applyFont="1" applyFill="1" applyBorder="1" applyAlignment="1">
      <alignment horizontal="center" vertical="top" wrapText="1"/>
    </xf>
  </cellXfs>
  <cellStyles count="64">
    <cellStyle name="20% - Ênfase1" xfId="18" builtinId="30" customBuiltin="1"/>
    <cellStyle name="20% - Ênfase1 2" xfId="46" xr:uid="{F0C39A61-C4E0-4C6A-A972-5E808084E526}"/>
    <cellStyle name="20% - Ênfase2" xfId="22" builtinId="34" customBuiltin="1"/>
    <cellStyle name="20% - Ênfase2 2" xfId="48" xr:uid="{A9F16D04-4912-4ED1-960F-72EE3B8072A1}"/>
    <cellStyle name="20% - Ênfase3" xfId="26" builtinId="38" customBuiltin="1"/>
    <cellStyle name="20% - Ênfase3 2" xfId="50" xr:uid="{E008A9EA-5B41-45A6-AB24-615FFB9C7F85}"/>
    <cellStyle name="20% - Ênfase4" xfId="30" builtinId="42" customBuiltin="1"/>
    <cellStyle name="20% - Ênfase4 2" xfId="52" xr:uid="{5F28EFFD-418B-4F79-8A8C-0729B3553F02}"/>
    <cellStyle name="20% - Ênfase5" xfId="34" builtinId="46" customBuiltin="1"/>
    <cellStyle name="20% - Ênfase5 2" xfId="54" xr:uid="{7BC74B46-7402-402C-953A-01C60AC69626}"/>
    <cellStyle name="20% - Ênfase6" xfId="38" builtinId="50" customBuiltin="1"/>
    <cellStyle name="20% - Ênfase6 2" xfId="56" xr:uid="{76F1C0A3-464E-4E8F-AEB8-4562FDFCFF0D}"/>
    <cellStyle name="40% - Ênfase1" xfId="19" builtinId="31" customBuiltin="1"/>
    <cellStyle name="40% - Ênfase1 2" xfId="47" xr:uid="{FAEF8B37-3FB5-4D3E-A097-5D3420DFBD13}"/>
    <cellStyle name="40% - Ênfase2" xfId="23" builtinId="35" customBuiltin="1"/>
    <cellStyle name="40% - Ênfase2 2" xfId="49" xr:uid="{E811114C-E320-45E2-9F3F-988AD214F724}"/>
    <cellStyle name="40% - Ênfase3" xfId="27" builtinId="39" customBuiltin="1"/>
    <cellStyle name="40% - Ênfase3 2" xfId="51" xr:uid="{34BF85C3-0CDE-4F58-BE70-670CB4632491}"/>
    <cellStyle name="40% - Ênfase4" xfId="31" builtinId="43" customBuiltin="1"/>
    <cellStyle name="40% - Ênfase4 2" xfId="53" xr:uid="{EFC5F58D-53E4-453F-8D66-0A1077BCD383}"/>
    <cellStyle name="40% - Ênfase5" xfId="35" builtinId="47" customBuiltin="1"/>
    <cellStyle name="40% - Ênfase5 2" xfId="55" xr:uid="{8947AEC7-9552-4EA1-A483-A3256ED8B401}"/>
    <cellStyle name="40% - Ênfase6" xfId="39" builtinId="51" customBuiltin="1"/>
    <cellStyle name="40% - Ênfase6 2" xfId="57" xr:uid="{316B5643-9341-487F-8E68-AFD3AE89C83A}"/>
    <cellStyle name="60% - Ênfase1" xfId="20" builtinId="32" customBuiltin="1"/>
    <cellStyle name="60% - Ênfase2" xfId="24" builtinId="36" customBuiltin="1"/>
    <cellStyle name="60% - Ênfase3" xfId="28" builtinId="40" customBuiltin="1"/>
    <cellStyle name="60% - Ênfase4" xfId="32" builtinId="44" customBuiltin="1"/>
    <cellStyle name="60% - Ênfase5" xfId="36" builtinId="48" customBuiltin="1"/>
    <cellStyle name="60% - Ênfase6" xfId="40"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7" builtinId="29" customBuiltin="1"/>
    <cellStyle name="Ênfase2" xfId="21" builtinId="33" customBuiltin="1"/>
    <cellStyle name="Ênfase3" xfId="25" builtinId="37" customBuiltin="1"/>
    <cellStyle name="Ênfase4" xfId="29" builtinId="41" customBuiltin="1"/>
    <cellStyle name="Ênfase5" xfId="33" builtinId="45" customBuiltin="1"/>
    <cellStyle name="Ênfase6" xfId="37" builtinId="49" customBuiltin="1"/>
    <cellStyle name="Entrada" xfId="9" builtinId="20" customBuiltin="1"/>
    <cellStyle name="Neutro" xfId="8" builtinId="28" customBuiltin="1"/>
    <cellStyle name="Normal" xfId="0" builtinId="0"/>
    <cellStyle name="Normal 2" xfId="41" xr:uid="{00000000-0005-0000-0000-000020000000}"/>
    <cellStyle name="Normal 2 2" xfId="43" xr:uid="{00000000-0005-0000-0000-000021000000}"/>
    <cellStyle name="Normal 2 2 2" xfId="60" xr:uid="{3B46E89F-8177-42AF-A395-3B3969EF7A68}"/>
    <cellStyle name="Normal 2 3" xfId="58" xr:uid="{13B60B94-7008-4D33-B44A-DE08BDF89D23}"/>
    <cellStyle name="Normal 3" xfId="44" xr:uid="{00000000-0005-0000-0000-000022000000}"/>
    <cellStyle name="Normal 3 2" xfId="61" xr:uid="{45880FA7-29D5-44F6-8CD3-107CA59910A2}"/>
    <cellStyle name="Nota 2" xfId="42" xr:uid="{00000000-0005-0000-0000-000023000000}"/>
    <cellStyle name="Nota 2 2" xfId="59" xr:uid="{E4E132E5-5BB1-47AA-AC79-8D41B126B944}"/>
    <cellStyle name="Porcentagem" xfId="63" builtinId="5"/>
    <cellStyle name="Ruim" xfId="7" builtinId="27" customBuiltin="1"/>
    <cellStyle name="Saída" xfId="10" builtinId="21" customBuiltin="1"/>
    <cellStyle name="Separador de milhares 2" xfId="45" xr:uid="{00000000-0005-0000-0000-000025000000}"/>
    <cellStyle name="Separador de milhares 2 2" xfId="62" xr:uid="{DFF7EB8D-ADF4-450D-AC6F-B122FC007E94}"/>
    <cellStyle name="Texto de Aviso" xfId="14" builtinId="11" customBuiltin="1"/>
    <cellStyle name="Texto Explicativo" xfId="15"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6" builtinId="25" customBuiltin="1"/>
  </cellStyles>
  <dxfs count="235">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s>
  <tableStyles count="0" defaultTableStyle="TableStyleMedium9" defaultPivotStyle="PivotStyleLight16"/>
  <colors>
    <mruColors>
      <color rgb="FF00FF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3"/>
  <sheetViews>
    <sheetView showGridLines="0" zoomScale="60" zoomScaleNormal="60" workbookViewId="0">
      <selection activeCell="A2" sqref="A2"/>
    </sheetView>
  </sheetViews>
  <sheetFormatPr defaultColWidth="9.140625" defaultRowHeight="11.25" x14ac:dyDescent="0.2"/>
  <cols>
    <col min="1" max="1" width="9.140625" style="17"/>
    <col min="2" max="2" width="17.7109375" style="17" customWidth="1"/>
    <col min="3" max="3" width="14.42578125" style="17" customWidth="1"/>
    <col min="4" max="4" width="74" style="17" bestFit="1" customWidth="1"/>
    <col min="5" max="5" width="9.7109375" style="17" bestFit="1" customWidth="1"/>
    <col min="6" max="6" width="14.7109375" style="17" bestFit="1" customWidth="1"/>
    <col min="7" max="7" width="12.5703125" style="17" bestFit="1" customWidth="1"/>
    <col min="8" max="16384" width="9.140625" style="17"/>
  </cols>
  <sheetData>
    <row r="1" spans="1:12" ht="17.25" customHeight="1" x14ac:dyDescent="0.2">
      <c r="A1" s="323" t="s">
        <v>0</v>
      </c>
      <c r="B1" s="323"/>
      <c r="C1" s="323"/>
      <c r="D1" s="323"/>
      <c r="E1" s="212"/>
      <c r="F1" s="19"/>
      <c r="G1" s="19"/>
      <c r="H1" s="19"/>
      <c r="I1" s="19"/>
      <c r="J1" s="19"/>
      <c r="K1" s="19"/>
      <c r="L1" s="1"/>
    </row>
    <row r="2" spans="1:12" ht="12.75" x14ac:dyDescent="0.2">
      <c r="B2" s="1"/>
      <c r="C2" s="11"/>
      <c r="D2" s="1"/>
      <c r="E2" s="1"/>
      <c r="F2" s="4"/>
      <c r="G2" s="4"/>
      <c r="H2" s="4"/>
      <c r="I2" s="4"/>
      <c r="J2" s="4"/>
      <c r="K2" s="4"/>
      <c r="L2" s="1"/>
    </row>
    <row r="3" spans="1:12" s="20" customFormat="1" ht="15.75" x14ac:dyDescent="0.2"/>
  </sheetData>
  <mergeCells count="1">
    <mergeCell ref="A1:D1"/>
  </mergeCells>
  <phoneticPr fontId="6" type="noConversion"/>
  <printOptions horizontalCentered="1" verticalCentered="1"/>
  <pageMargins left="0.39370078740157483" right="0.39370078740157483" top="0.39370078740157483" bottom="0.39370078740157483" header="0.19685039370078741" footer="0.19685039370078741"/>
  <pageSetup paperSize="9" scale="61" orientation="landscape" verticalDpi="300" r:id="rId1"/>
  <headerFooter alignWithMargins="0">
    <oddHeader>&amp;L&amp;"Calibri"&amp;10&amp;K000000 General Business&amp;1#_x000D_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W1054"/>
  <sheetViews>
    <sheetView tabSelected="1" zoomScale="67" zoomScaleNormal="67" zoomScaleSheetLayoutView="100" workbookViewId="0">
      <pane ySplit="5" topLeftCell="A767" activePane="bottomLeft" state="frozen"/>
      <selection pane="bottomLeft" activeCell="I21" sqref="I21"/>
    </sheetView>
  </sheetViews>
  <sheetFormatPr defaultColWidth="9.140625" defaultRowHeight="12.75" x14ac:dyDescent="0.2"/>
  <cols>
    <col min="1" max="1" width="8.7109375" style="1" bestFit="1" customWidth="1"/>
    <col min="2" max="2" width="8.85546875" style="1" bestFit="1" customWidth="1"/>
    <col min="3" max="3" width="24" style="1" customWidth="1"/>
    <col min="4" max="4" width="128.28515625" style="1" customWidth="1"/>
    <col min="5" max="5" width="12.5703125" style="54" bestFit="1" customWidth="1"/>
    <col min="6" max="6" width="8.5703125" style="54" bestFit="1" customWidth="1"/>
    <col min="7" max="7" width="8.42578125" style="1" bestFit="1" customWidth="1"/>
    <col min="8" max="8" width="5.7109375" style="1" bestFit="1" customWidth="1"/>
    <col min="9" max="9" width="11.42578125" style="1" bestFit="1" customWidth="1"/>
    <col min="10" max="10" width="6.5703125" style="1" bestFit="1" customWidth="1"/>
    <col min="11" max="11" width="13.42578125" style="54" hidden="1" customWidth="1"/>
    <col min="12" max="12" width="11" style="1" customWidth="1"/>
    <col min="13" max="13" width="29.7109375" style="1" hidden="1" customWidth="1"/>
    <col min="14" max="14" width="145.5703125" style="1" customWidth="1"/>
    <col min="15" max="16384" width="9.140625" style="1"/>
  </cols>
  <sheetData>
    <row r="1" spans="1:14" ht="19.5" customHeight="1" x14ac:dyDescent="0.2">
      <c r="A1" s="323" t="s">
        <v>0</v>
      </c>
      <c r="B1" s="323"/>
      <c r="C1" s="323"/>
      <c r="D1" s="323"/>
      <c r="E1" s="323"/>
      <c r="F1" s="323"/>
      <c r="G1" s="323"/>
      <c r="H1" s="323"/>
      <c r="I1" s="323"/>
      <c r="J1" s="323"/>
      <c r="K1" s="323"/>
      <c r="L1" s="323"/>
    </row>
    <row r="3" spans="1:14" ht="19.5" customHeight="1" x14ac:dyDescent="0.2">
      <c r="A3" s="335" t="s">
        <v>1</v>
      </c>
      <c r="B3" s="336"/>
      <c r="C3" s="336"/>
      <c r="D3" s="336"/>
      <c r="E3" s="336"/>
      <c r="F3" s="336"/>
      <c r="G3" s="336"/>
      <c r="H3" s="336"/>
      <c r="I3" s="336"/>
      <c r="J3" s="336"/>
      <c r="K3" s="336"/>
      <c r="L3" s="336"/>
      <c r="M3" s="336"/>
      <c r="N3" s="337"/>
    </row>
    <row r="4" spans="1:14" x14ac:dyDescent="0.2">
      <c r="I4" s="1" t="s">
        <v>1857</v>
      </c>
    </row>
    <row r="5" spans="1:14" x14ac:dyDescent="0.2">
      <c r="A5" s="5" t="s">
        <v>2</v>
      </c>
      <c r="B5" s="270" t="s">
        <v>1746</v>
      </c>
      <c r="C5" s="271" t="s">
        <v>1827</v>
      </c>
      <c r="D5" s="6" t="s">
        <v>3</v>
      </c>
      <c r="E5" s="53" t="s">
        <v>4</v>
      </c>
      <c r="F5" s="269" t="s">
        <v>1748</v>
      </c>
      <c r="G5" s="5" t="s">
        <v>5</v>
      </c>
      <c r="H5" s="5" t="s">
        <v>6</v>
      </c>
      <c r="I5" s="5" t="s">
        <v>7</v>
      </c>
      <c r="J5" s="5" t="s">
        <v>8</v>
      </c>
      <c r="K5" s="269" t="s">
        <v>1752</v>
      </c>
      <c r="L5" s="5" t="s">
        <v>9</v>
      </c>
      <c r="M5" s="5" t="s">
        <v>10</v>
      </c>
      <c r="N5" s="6" t="s">
        <v>11</v>
      </c>
    </row>
    <row r="6" spans="1:14" ht="15" customHeight="1" x14ac:dyDescent="0.2">
      <c r="A6" s="338" t="s">
        <v>12</v>
      </c>
      <c r="B6" s="339"/>
      <c r="C6" s="339"/>
      <c r="D6" s="339"/>
      <c r="E6" s="339"/>
      <c r="F6" s="339"/>
      <c r="G6" s="339"/>
      <c r="H6" s="339"/>
      <c r="I6" s="339"/>
      <c r="J6" s="339"/>
      <c r="K6" s="339"/>
      <c r="L6" s="339"/>
      <c r="M6" s="339"/>
      <c r="N6" s="340"/>
    </row>
    <row r="7" spans="1:14" ht="15" customHeight="1" x14ac:dyDescent="0.2">
      <c r="A7" s="2">
        <v>1</v>
      </c>
      <c r="B7" s="2"/>
      <c r="C7" s="10" t="s">
        <v>13</v>
      </c>
      <c r="D7" s="3"/>
      <c r="E7" s="29" t="s">
        <v>14</v>
      </c>
      <c r="F7" s="29"/>
      <c r="G7" s="28">
        <v>1</v>
      </c>
      <c r="H7" s="28">
        <f>I7</f>
        <v>6</v>
      </c>
      <c r="I7" s="28">
        <v>6</v>
      </c>
      <c r="J7" s="28" t="s">
        <v>15</v>
      </c>
      <c r="K7" s="29"/>
      <c r="L7" s="28"/>
      <c r="M7" s="3"/>
      <c r="N7" s="3" t="s">
        <v>16</v>
      </c>
    </row>
    <row r="8" spans="1:14" ht="15" customHeight="1" x14ac:dyDescent="0.2">
      <c r="A8" s="2">
        <v>2</v>
      </c>
      <c r="B8" s="2"/>
      <c r="C8" s="10" t="s">
        <v>17</v>
      </c>
      <c r="D8" s="3"/>
      <c r="E8" s="29" t="s">
        <v>14</v>
      </c>
      <c r="F8" s="29"/>
      <c r="G8" s="28">
        <f>H7+1</f>
        <v>7</v>
      </c>
      <c r="H8" s="28">
        <f>H7+I8</f>
        <v>14</v>
      </c>
      <c r="I8" s="28">
        <v>8</v>
      </c>
      <c r="J8" s="28" t="s">
        <v>18</v>
      </c>
      <c r="K8" s="29"/>
      <c r="L8" s="28"/>
      <c r="M8" s="3" t="s">
        <v>19</v>
      </c>
      <c r="N8" s="3" t="s">
        <v>20</v>
      </c>
    </row>
    <row r="9" spans="1:14" ht="15" customHeight="1" x14ac:dyDescent="0.2">
      <c r="A9" s="2">
        <v>3</v>
      </c>
      <c r="B9" s="2"/>
      <c r="C9" s="10" t="s">
        <v>21</v>
      </c>
      <c r="D9" s="3"/>
      <c r="E9" s="29" t="s">
        <v>14</v>
      </c>
      <c r="F9" s="29"/>
      <c r="G9" s="28">
        <f>H8+1</f>
        <v>15</v>
      </c>
      <c r="H9" s="28">
        <f>H8+I9</f>
        <v>23</v>
      </c>
      <c r="I9" s="28">
        <v>9</v>
      </c>
      <c r="J9" s="28" t="s">
        <v>18</v>
      </c>
      <c r="K9" s="29"/>
      <c r="L9" s="28"/>
      <c r="M9" s="3" t="s">
        <v>22</v>
      </c>
      <c r="N9" s="3" t="s">
        <v>23</v>
      </c>
    </row>
    <row r="10" spans="1:14" ht="15" customHeight="1" x14ac:dyDescent="0.2">
      <c r="A10" s="2">
        <v>4</v>
      </c>
      <c r="B10" s="2"/>
      <c r="C10" s="10" t="s">
        <v>24</v>
      </c>
      <c r="D10" s="3"/>
      <c r="E10" s="29" t="s">
        <v>14</v>
      </c>
      <c r="F10" s="29"/>
      <c r="G10" s="28">
        <f>H9+1</f>
        <v>24</v>
      </c>
      <c r="H10" s="28">
        <f>H9+I10</f>
        <v>48</v>
      </c>
      <c r="I10" s="28">
        <v>25</v>
      </c>
      <c r="J10" s="28" t="s">
        <v>15</v>
      </c>
      <c r="K10" s="29"/>
      <c r="L10" s="28"/>
      <c r="M10" s="3"/>
      <c r="N10" s="3" t="s">
        <v>25</v>
      </c>
    </row>
    <row r="11" spans="1:14" ht="15" customHeight="1" x14ac:dyDescent="0.2">
      <c r="A11" s="2">
        <v>5</v>
      </c>
      <c r="B11" s="2"/>
      <c r="C11" s="10" t="s">
        <v>26</v>
      </c>
      <c r="D11" s="3"/>
      <c r="E11" s="29" t="s">
        <v>14</v>
      </c>
      <c r="F11" s="29"/>
      <c r="G11" s="28">
        <f>H10+1</f>
        <v>49</v>
      </c>
      <c r="H11" s="28">
        <f>H10+I11</f>
        <v>62</v>
      </c>
      <c r="I11" s="28">
        <v>14</v>
      </c>
      <c r="J11" s="28" t="s">
        <v>18</v>
      </c>
      <c r="K11" s="29"/>
      <c r="L11" s="28"/>
      <c r="M11" s="3"/>
      <c r="N11" s="3" t="s">
        <v>27</v>
      </c>
    </row>
    <row r="12" spans="1:14" ht="15" customHeight="1" x14ac:dyDescent="0.2">
      <c r="A12" s="2">
        <v>6</v>
      </c>
      <c r="B12" s="2"/>
      <c r="C12" s="10" t="s">
        <v>28</v>
      </c>
      <c r="D12" s="3"/>
      <c r="E12" s="29" t="s">
        <v>14</v>
      </c>
      <c r="F12" s="29"/>
      <c r="G12" s="28">
        <f>H11+1</f>
        <v>63</v>
      </c>
      <c r="H12" s="28">
        <v>600</v>
      </c>
      <c r="I12" s="28">
        <f>H12-H11</f>
        <v>538</v>
      </c>
      <c r="J12" s="28" t="s">
        <v>15</v>
      </c>
      <c r="K12" s="29"/>
      <c r="L12" s="28"/>
      <c r="M12" s="3"/>
      <c r="N12" s="3" t="s">
        <v>29</v>
      </c>
    </row>
    <row r="13" spans="1:14" ht="11.25" customHeight="1" x14ac:dyDescent="0.2"/>
    <row r="14" spans="1:14" ht="21" customHeight="1" x14ac:dyDescent="0.2">
      <c r="A14" s="6" t="s">
        <v>2</v>
      </c>
      <c r="B14" s="253"/>
      <c r="C14" s="346" t="s">
        <v>3</v>
      </c>
      <c r="D14" s="347"/>
      <c r="E14" s="6" t="s">
        <v>4</v>
      </c>
      <c r="F14" s="6"/>
      <c r="G14" s="6" t="s">
        <v>5</v>
      </c>
      <c r="H14" s="6" t="s">
        <v>6</v>
      </c>
      <c r="I14" s="6" t="s">
        <v>7</v>
      </c>
      <c r="J14" s="6" t="s">
        <v>8</v>
      </c>
      <c r="K14" s="263"/>
      <c r="L14" s="6" t="s">
        <v>9</v>
      </c>
      <c r="M14" s="6" t="s">
        <v>10</v>
      </c>
      <c r="N14" s="6" t="s">
        <v>11</v>
      </c>
    </row>
    <row r="15" spans="1:14" ht="15" customHeight="1" x14ac:dyDescent="0.2">
      <c r="A15" s="338" t="s">
        <v>30</v>
      </c>
      <c r="B15" s="339"/>
      <c r="C15" s="339"/>
      <c r="D15" s="339"/>
      <c r="E15" s="339"/>
      <c r="F15" s="339"/>
      <c r="G15" s="339"/>
      <c r="H15" s="339"/>
      <c r="I15" s="339"/>
      <c r="J15" s="339"/>
      <c r="K15" s="339"/>
      <c r="L15" s="339"/>
      <c r="M15" s="339"/>
      <c r="N15" s="340"/>
    </row>
    <row r="16" spans="1:14" ht="15" customHeight="1" x14ac:dyDescent="0.2">
      <c r="A16" s="2">
        <v>1</v>
      </c>
      <c r="B16" s="2"/>
      <c r="C16" s="10" t="s">
        <v>13</v>
      </c>
      <c r="D16" s="3"/>
      <c r="E16" s="29" t="s">
        <v>14</v>
      </c>
      <c r="F16" s="29"/>
      <c r="G16" s="28">
        <v>1</v>
      </c>
      <c r="H16" s="28">
        <f>I16</f>
        <v>6</v>
      </c>
      <c r="I16" s="28">
        <v>6</v>
      </c>
      <c r="J16" s="28" t="s">
        <v>18</v>
      </c>
      <c r="K16" s="29"/>
      <c r="L16" s="28"/>
      <c r="M16" s="3"/>
      <c r="N16" s="3" t="s">
        <v>31</v>
      </c>
    </row>
    <row r="17" spans="1:14" ht="15" customHeight="1" x14ac:dyDescent="0.2">
      <c r="A17" s="2">
        <f>A16+1</f>
        <v>2</v>
      </c>
      <c r="B17" s="2"/>
      <c r="C17" s="159" t="s">
        <v>32</v>
      </c>
      <c r="D17" s="159"/>
      <c r="E17" s="29" t="s">
        <v>14</v>
      </c>
      <c r="F17" s="29"/>
      <c r="G17" s="28">
        <f>$H$16+1</f>
        <v>7</v>
      </c>
      <c r="H17" s="28">
        <f>I17+$H$16</f>
        <v>9</v>
      </c>
      <c r="I17" s="28">
        <v>3</v>
      </c>
      <c r="J17" s="28" t="s">
        <v>18</v>
      </c>
      <c r="K17" s="29"/>
      <c r="L17" s="28"/>
      <c r="M17" s="29"/>
      <c r="N17" s="159" t="s">
        <v>33</v>
      </c>
    </row>
    <row r="18" spans="1:14" ht="38.25" x14ac:dyDescent="0.2">
      <c r="A18" s="2">
        <f>A17+1</f>
        <v>3</v>
      </c>
      <c r="B18" s="254"/>
      <c r="C18" s="13"/>
      <c r="D18" s="30" t="s">
        <v>34</v>
      </c>
      <c r="E18" s="29" t="s">
        <v>14</v>
      </c>
      <c r="F18" s="29"/>
      <c r="G18" s="28">
        <f>H17+1</f>
        <v>10</v>
      </c>
      <c r="H18" s="28">
        <f>H17+I18</f>
        <v>12</v>
      </c>
      <c r="I18" s="18">
        <v>3</v>
      </c>
      <c r="J18" s="18" t="s">
        <v>15</v>
      </c>
      <c r="K18" s="56"/>
      <c r="L18" s="28"/>
      <c r="M18" s="29" t="s">
        <v>35</v>
      </c>
      <c r="N18" s="31" t="s">
        <v>36</v>
      </c>
    </row>
    <row r="19" spans="1:14" ht="25.5" x14ac:dyDescent="0.2">
      <c r="A19" s="2">
        <f t="shared" ref="A19:A85" si="0">A18+1</f>
        <v>4</v>
      </c>
      <c r="B19" s="254"/>
      <c r="C19" s="13"/>
      <c r="D19" s="30" t="s">
        <v>37</v>
      </c>
      <c r="E19" s="29" t="s">
        <v>14</v>
      </c>
      <c r="F19" s="29"/>
      <c r="G19" s="28">
        <f t="shared" ref="G19:G39" si="1">H18+1</f>
        <v>13</v>
      </c>
      <c r="H19" s="28">
        <f t="shared" ref="H19:H39" si="2">H18+I19</f>
        <v>14</v>
      </c>
      <c r="I19" s="18">
        <v>2</v>
      </c>
      <c r="J19" s="18" t="s">
        <v>15</v>
      </c>
      <c r="K19" s="56"/>
      <c r="L19" s="28"/>
      <c r="M19" s="29"/>
      <c r="N19" s="31" t="s">
        <v>38</v>
      </c>
    </row>
    <row r="20" spans="1:14" ht="15" customHeight="1" x14ac:dyDescent="0.2">
      <c r="A20" s="2">
        <f t="shared" si="0"/>
        <v>5</v>
      </c>
      <c r="B20" s="254"/>
      <c r="C20" s="13"/>
      <c r="D20" s="30" t="s">
        <v>39</v>
      </c>
      <c r="E20" s="29" t="s">
        <v>14</v>
      </c>
      <c r="F20" s="29"/>
      <c r="G20" s="28">
        <f t="shared" si="1"/>
        <v>15</v>
      </c>
      <c r="H20" s="28">
        <f t="shared" si="2"/>
        <v>17</v>
      </c>
      <c r="I20" s="18">
        <v>3</v>
      </c>
      <c r="J20" s="18" t="s">
        <v>18</v>
      </c>
      <c r="K20" s="56"/>
      <c r="L20" s="28"/>
      <c r="M20" s="29"/>
      <c r="N20" s="31" t="s">
        <v>40</v>
      </c>
    </row>
    <row r="21" spans="1:14" ht="37.5" customHeight="1" x14ac:dyDescent="0.2">
      <c r="A21" s="144">
        <f t="shared" si="0"/>
        <v>6</v>
      </c>
      <c r="B21" s="255"/>
      <c r="C21" s="160"/>
      <c r="D21" s="161" t="s">
        <v>41</v>
      </c>
      <c r="E21" s="145" t="s">
        <v>14</v>
      </c>
      <c r="F21" s="145"/>
      <c r="G21" s="146">
        <f t="shared" si="1"/>
        <v>18</v>
      </c>
      <c r="H21" s="146">
        <f t="shared" si="2"/>
        <v>26</v>
      </c>
      <c r="I21" s="147">
        <v>9</v>
      </c>
      <c r="J21" s="147" t="s">
        <v>18</v>
      </c>
      <c r="K21" s="264"/>
      <c r="L21" s="146"/>
      <c r="M21" s="145" t="s">
        <v>42</v>
      </c>
      <c r="N21" s="162" t="s">
        <v>43</v>
      </c>
    </row>
    <row r="22" spans="1:14" ht="15" customHeight="1" x14ac:dyDescent="0.2">
      <c r="A22" s="2">
        <f t="shared" si="0"/>
        <v>7</v>
      </c>
      <c r="B22" s="254"/>
      <c r="C22" s="13"/>
      <c r="D22" s="30" t="s">
        <v>44</v>
      </c>
      <c r="E22" s="29" t="s">
        <v>14</v>
      </c>
      <c r="F22" s="29"/>
      <c r="G22" s="28">
        <f t="shared" si="1"/>
        <v>27</v>
      </c>
      <c r="H22" s="28">
        <f t="shared" si="2"/>
        <v>29</v>
      </c>
      <c r="I22" s="18">
        <v>3</v>
      </c>
      <c r="J22" s="18" t="s">
        <v>18</v>
      </c>
      <c r="K22" s="56"/>
      <c r="L22" s="28"/>
      <c r="M22" s="29"/>
      <c r="N22" s="31" t="s">
        <v>45</v>
      </c>
    </row>
    <row r="23" spans="1:14" ht="51" x14ac:dyDescent="0.2">
      <c r="A23" s="144">
        <f t="shared" si="0"/>
        <v>8</v>
      </c>
      <c r="B23" s="255"/>
      <c r="C23" s="160"/>
      <c r="D23" s="161" t="s">
        <v>46</v>
      </c>
      <c r="E23" s="145" t="s">
        <v>14</v>
      </c>
      <c r="F23" s="145"/>
      <c r="G23" s="146">
        <f t="shared" si="1"/>
        <v>30</v>
      </c>
      <c r="H23" s="146">
        <f t="shared" si="2"/>
        <v>30</v>
      </c>
      <c r="I23" s="147">
        <v>1</v>
      </c>
      <c r="J23" s="147" t="s">
        <v>18</v>
      </c>
      <c r="K23" s="264"/>
      <c r="L23" s="146"/>
      <c r="M23" s="145"/>
      <c r="N23" s="162" t="s">
        <v>47</v>
      </c>
    </row>
    <row r="24" spans="1:14" ht="156.6" customHeight="1" x14ac:dyDescent="0.2">
      <c r="A24" s="103">
        <f t="shared" si="0"/>
        <v>9</v>
      </c>
      <c r="B24" s="256"/>
      <c r="C24" s="104"/>
      <c r="D24" s="100" t="s">
        <v>48</v>
      </c>
      <c r="E24" s="106" t="s">
        <v>14</v>
      </c>
      <c r="F24" s="106"/>
      <c r="G24" s="107">
        <f t="shared" si="1"/>
        <v>31</v>
      </c>
      <c r="H24" s="107">
        <f t="shared" si="2"/>
        <v>74</v>
      </c>
      <c r="I24" s="111">
        <v>44</v>
      </c>
      <c r="J24" s="111" t="s">
        <v>15</v>
      </c>
      <c r="K24" s="124"/>
      <c r="L24" s="107"/>
      <c r="M24" s="106"/>
      <c r="N24" s="31" t="s">
        <v>49</v>
      </c>
    </row>
    <row r="25" spans="1:14" ht="33" customHeight="1" x14ac:dyDescent="0.2">
      <c r="A25" s="103">
        <f t="shared" si="0"/>
        <v>10</v>
      </c>
      <c r="B25" s="256"/>
      <c r="C25" s="104"/>
      <c r="D25" s="105" t="s">
        <v>50</v>
      </c>
      <c r="E25" s="106" t="s">
        <v>14</v>
      </c>
      <c r="F25" s="106"/>
      <c r="G25" s="107">
        <f t="shared" si="1"/>
        <v>75</v>
      </c>
      <c r="H25" s="107">
        <f t="shared" si="2"/>
        <v>89</v>
      </c>
      <c r="I25" s="111">
        <v>15</v>
      </c>
      <c r="J25" s="111" t="s">
        <v>15</v>
      </c>
      <c r="K25" s="124"/>
      <c r="L25" s="107"/>
      <c r="M25" s="106"/>
      <c r="N25" s="31" t="s">
        <v>51</v>
      </c>
    </row>
    <row r="26" spans="1:14" ht="15" x14ac:dyDescent="0.2">
      <c r="A26" s="103">
        <f t="shared" si="0"/>
        <v>11</v>
      </c>
      <c r="B26" s="256"/>
      <c r="C26" s="104"/>
      <c r="D26" s="105" t="s">
        <v>52</v>
      </c>
      <c r="E26" s="106" t="s">
        <v>14</v>
      </c>
      <c r="F26" s="106"/>
      <c r="G26" s="107">
        <f t="shared" si="1"/>
        <v>90</v>
      </c>
      <c r="H26" s="107">
        <f t="shared" si="2"/>
        <v>103</v>
      </c>
      <c r="I26" s="111">
        <v>14</v>
      </c>
      <c r="J26" s="111" t="s">
        <v>15</v>
      </c>
      <c r="K26" s="124"/>
      <c r="L26" s="107"/>
      <c r="M26" s="106"/>
      <c r="N26" s="31" t="s">
        <v>53</v>
      </c>
    </row>
    <row r="27" spans="1:14" ht="25.5" x14ac:dyDescent="0.2">
      <c r="A27" s="103">
        <f t="shared" si="0"/>
        <v>12</v>
      </c>
      <c r="B27" s="256"/>
      <c r="C27" s="104"/>
      <c r="D27" s="105" t="s">
        <v>54</v>
      </c>
      <c r="E27" s="106" t="s">
        <v>14</v>
      </c>
      <c r="F27" s="106"/>
      <c r="G27" s="107">
        <f t="shared" si="1"/>
        <v>104</v>
      </c>
      <c r="H27" s="107">
        <f t="shared" si="2"/>
        <v>117</v>
      </c>
      <c r="I27" s="111">
        <v>14</v>
      </c>
      <c r="J27" s="111" t="s">
        <v>18</v>
      </c>
      <c r="K27" s="124"/>
      <c r="L27" s="107"/>
      <c r="M27" s="108" t="s">
        <v>55</v>
      </c>
      <c r="N27" s="31" t="s">
        <v>56</v>
      </c>
    </row>
    <row r="28" spans="1:14" ht="15" x14ac:dyDescent="0.2">
      <c r="A28" s="103">
        <f t="shared" si="0"/>
        <v>13</v>
      </c>
      <c r="B28" s="256"/>
      <c r="C28" s="104"/>
      <c r="D28" s="105" t="s">
        <v>57</v>
      </c>
      <c r="E28" s="106" t="s">
        <v>14</v>
      </c>
      <c r="F28" s="106"/>
      <c r="G28" s="107">
        <f t="shared" si="1"/>
        <v>118</v>
      </c>
      <c r="H28" s="107">
        <f t="shared" si="2"/>
        <v>167</v>
      </c>
      <c r="I28" s="111">
        <v>50</v>
      </c>
      <c r="J28" s="111" t="s">
        <v>18</v>
      </c>
      <c r="K28" s="124"/>
      <c r="L28" s="107"/>
      <c r="M28" s="106"/>
      <c r="N28" s="31" t="s">
        <v>58</v>
      </c>
    </row>
    <row r="29" spans="1:14" ht="15" customHeight="1" x14ac:dyDescent="0.2">
      <c r="A29" s="103">
        <f t="shared" si="0"/>
        <v>14</v>
      </c>
      <c r="B29" s="256"/>
      <c r="C29" s="104"/>
      <c r="D29" s="105" t="s">
        <v>59</v>
      </c>
      <c r="E29" s="106" t="s">
        <v>14</v>
      </c>
      <c r="F29" s="106"/>
      <c r="G29" s="107">
        <f t="shared" si="1"/>
        <v>168</v>
      </c>
      <c r="H29" s="107">
        <f t="shared" si="2"/>
        <v>181</v>
      </c>
      <c r="I29" s="107">
        <v>14</v>
      </c>
      <c r="J29" s="111" t="s">
        <v>15</v>
      </c>
      <c r="K29" s="124"/>
      <c r="L29" s="107"/>
      <c r="M29" s="106"/>
      <c r="N29" s="31" t="s">
        <v>60</v>
      </c>
    </row>
    <row r="30" spans="1:14" ht="228" customHeight="1" x14ac:dyDescent="0.2">
      <c r="A30" s="103">
        <f t="shared" si="0"/>
        <v>15</v>
      </c>
      <c r="B30" s="256"/>
      <c r="C30" s="104"/>
      <c r="D30" s="105" t="s">
        <v>61</v>
      </c>
      <c r="E30" s="106" t="s">
        <v>14</v>
      </c>
      <c r="F30" s="106"/>
      <c r="G30" s="107">
        <f t="shared" si="1"/>
        <v>182</v>
      </c>
      <c r="H30" s="107">
        <f t="shared" si="2"/>
        <v>184</v>
      </c>
      <c r="I30" s="107">
        <v>3</v>
      </c>
      <c r="J30" s="111" t="s">
        <v>15</v>
      </c>
      <c r="K30" s="124"/>
      <c r="L30" s="107"/>
      <c r="M30" s="106"/>
      <c r="N30" s="31" t="s">
        <v>62</v>
      </c>
    </row>
    <row r="31" spans="1:14" ht="94.5" customHeight="1" x14ac:dyDescent="0.2">
      <c r="A31" s="103">
        <f t="shared" si="0"/>
        <v>16</v>
      </c>
      <c r="B31" s="256"/>
      <c r="C31" s="104"/>
      <c r="D31" s="105" t="s">
        <v>63</v>
      </c>
      <c r="E31" s="106" t="s">
        <v>14</v>
      </c>
      <c r="F31" s="106"/>
      <c r="G31" s="107">
        <f t="shared" si="1"/>
        <v>185</v>
      </c>
      <c r="H31" s="107">
        <f t="shared" si="2"/>
        <v>187</v>
      </c>
      <c r="I31" s="107">
        <v>3</v>
      </c>
      <c r="J31" s="111" t="s">
        <v>15</v>
      </c>
      <c r="K31" s="124"/>
      <c r="L31" s="107"/>
      <c r="M31" s="106"/>
      <c r="N31" s="31" t="s">
        <v>64</v>
      </c>
    </row>
    <row r="32" spans="1:14" ht="42.75" customHeight="1" x14ac:dyDescent="0.2">
      <c r="A32" s="103">
        <f t="shared" si="0"/>
        <v>17</v>
      </c>
      <c r="B32" s="256"/>
      <c r="C32" s="104"/>
      <c r="D32" s="105" t="s">
        <v>65</v>
      </c>
      <c r="E32" s="106" t="s">
        <v>14</v>
      </c>
      <c r="F32" s="106"/>
      <c r="G32" s="107">
        <f t="shared" si="1"/>
        <v>188</v>
      </c>
      <c r="H32" s="107">
        <f t="shared" si="2"/>
        <v>188</v>
      </c>
      <c r="I32" s="107">
        <v>1</v>
      </c>
      <c r="J32" s="111" t="s">
        <v>15</v>
      </c>
      <c r="K32" s="124"/>
      <c r="L32" s="106"/>
      <c r="M32" s="108"/>
      <c r="N32" s="3" t="s">
        <v>66</v>
      </c>
    </row>
    <row r="33" spans="1:14" ht="67.5" customHeight="1" x14ac:dyDescent="0.2">
      <c r="A33" s="103">
        <f t="shared" si="0"/>
        <v>18</v>
      </c>
      <c r="B33" s="256"/>
      <c r="C33" s="104"/>
      <c r="D33" s="105" t="s">
        <v>67</v>
      </c>
      <c r="E33" s="106" t="s">
        <v>14</v>
      </c>
      <c r="F33" s="106"/>
      <c r="G33" s="107">
        <f t="shared" si="1"/>
        <v>189</v>
      </c>
      <c r="H33" s="107">
        <f t="shared" si="2"/>
        <v>190</v>
      </c>
      <c r="I33" s="107">
        <v>2</v>
      </c>
      <c r="J33" s="111" t="s">
        <v>18</v>
      </c>
      <c r="K33" s="124"/>
      <c r="L33" s="106"/>
      <c r="M33" s="117"/>
      <c r="N33" s="3" t="s">
        <v>68</v>
      </c>
    </row>
    <row r="34" spans="1:14" ht="189.6" customHeight="1" x14ac:dyDescent="0.2">
      <c r="A34" s="103">
        <f t="shared" si="0"/>
        <v>19</v>
      </c>
      <c r="B34" s="256"/>
      <c r="C34" s="104"/>
      <c r="D34" s="105" t="s">
        <v>69</v>
      </c>
      <c r="E34" s="106" t="s">
        <v>14</v>
      </c>
      <c r="F34" s="106"/>
      <c r="G34" s="107">
        <f t="shared" si="1"/>
        <v>191</v>
      </c>
      <c r="H34" s="107">
        <f t="shared" si="2"/>
        <v>192</v>
      </c>
      <c r="I34" s="107">
        <v>2</v>
      </c>
      <c r="J34" s="111" t="s">
        <v>15</v>
      </c>
      <c r="K34" s="124"/>
      <c r="L34" s="107"/>
      <c r="M34" s="106"/>
      <c r="N34" s="31" t="s">
        <v>70</v>
      </c>
    </row>
    <row r="35" spans="1:14" ht="130.9" customHeight="1" x14ac:dyDescent="0.2">
      <c r="A35" s="103">
        <f t="shared" si="0"/>
        <v>20</v>
      </c>
      <c r="B35" s="256"/>
      <c r="C35" s="104"/>
      <c r="D35" s="105" t="s">
        <v>71</v>
      </c>
      <c r="E35" s="106" t="s">
        <v>14</v>
      </c>
      <c r="F35" s="106"/>
      <c r="G35" s="107">
        <f t="shared" si="1"/>
        <v>193</v>
      </c>
      <c r="H35" s="107">
        <f t="shared" si="2"/>
        <v>194</v>
      </c>
      <c r="I35" s="107">
        <v>2</v>
      </c>
      <c r="J35" s="111" t="s">
        <v>15</v>
      </c>
      <c r="K35" s="124"/>
      <c r="L35" s="107"/>
      <c r="M35" s="106"/>
      <c r="N35" s="31" t="s">
        <v>72</v>
      </c>
    </row>
    <row r="36" spans="1:14" ht="38.25" x14ac:dyDescent="0.2">
      <c r="A36" s="103">
        <f t="shared" si="0"/>
        <v>21</v>
      </c>
      <c r="B36" s="256"/>
      <c r="C36" s="104"/>
      <c r="D36" s="105" t="s">
        <v>73</v>
      </c>
      <c r="E36" s="106" t="s">
        <v>14</v>
      </c>
      <c r="F36" s="106"/>
      <c r="G36" s="107">
        <f t="shared" si="1"/>
        <v>195</v>
      </c>
      <c r="H36" s="107">
        <f t="shared" si="2"/>
        <v>258</v>
      </c>
      <c r="I36" s="107">
        <v>64</v>
      </c>
      <c r="J36" s="111" t="s">
        <v>15</v>
      </c>
      <c r="K36" s="124"/>
      <c r="L36" s="107"/>
      <c r="M36" s="106"/>
      <c r="N36" s="31" t="s">
        <v>74</v>
      </c>
    </row>
    <row r="37" spans="1:14" ht="38.25" x14ac:dyDescent="0.2">
      <c r="A37" s="103">
        <f t="shared" si="0"/>
        <v>22</v>
      </c>
      <c r="B37" s="256"/>
      <c r="C37" s="104"/>
      <c r="D37" s="105" t="s">
        <v>75</v>
      </c>
      <c r="E37" s="106" t="s">
        <v>14</v>
      </c>
      <c r="F37" s="106"/>
      <c r="G37" s="107">
        <f t="shared" si="1"/>
        <v>259</v>
      </c>
      <c r="H37" s="107">
        <f t="shared" si="2"/>
        <v>262</v>
      </c>
      <c r="I37" s="107">
        <v>4</v>
      </c>
      <c r="J37" s="111" t="s">
        <v>18</v>
      </c>
      <c r="K37" s="124"/>
      <c r="L37" s="107"/>
      <c r="M37" s="106" t="s">
        <v>76</v>
      </c>
      <c r="N37" s="31" t="s">
        <v>77</v>
      </c>
    </row>
    <row r="38" spans="1:14" ht="25.5" x14ac:dyDescent="0.2">
      <c r="A38" s="103">
        <f t="shared" si="0"/>
        <v>23</v>
      </c>
      <c r="B38" s="256"/>
      <c r="C38" s="104"/>
      <c r="D38" s="105" t="s">
        <v>78</v>
      </c>
      <c r="E38" s="106" t="s">
        <v>14</v>
      </c>
      <c r="F38" s="106"/>
      <c r="G38" s="107">
        <f t="shared" si="1"/>
        <v>263</v>
      </c>
      <c r="H38" s="107">
        <f t="shared" si="2"/>
        <v>292</v>
      </c>
      <c r="I38" s="107">
        <v>30</v>
      </c>
      <c r="J38" s="111" t="s">
        <v>15</v>
      </c>
      <c r="K38" s="124"/>
      <c r="L38" s="107"/>
      <c r="M38" s="106"/>
      <c r="N38" s="31" t="s">
        <v>79</v>
      </c>
    </row>
    <row r="39" spans="1:14" ht="15" x14ac:dyDescent="0.2">
      <c r="A39" s="103">
        <f t="shared" si="0"/>
        <v>24</v>
      </c>
      <c r="B39" s="256"/>
      <c r="C39" s="104"/>
      <c r="D39" s="105" t="s">
        <v>80</v>
      </c>
      <c r="E39" s="106">
        <v>28</v>
      </c>
      <c r="F39" s="106"/>
      <c r="G39" s="107">
        <f t="shared" si="1"/>
        <v>293</v>
      </c>
      <c r="H39" s="107">
        <f t="shared" si="2"/>
        <v>293</v>
      </c>
      <c r="I39" s="111">
        <v>1</v>
      </c>
      <c r="J39" s="111" t="s">
        <v>18</v>
      </c>
      <c r="K39" s="124"/>
      <c r="L39" s="107"/>
      <c r="M39" s="106"/>
      <c r="N39" s="3" t="s">
        <v>81</v>
      </c>
    </row>
    <row r="40" spans="1:14" ht="15" x14ac:dyDescent="0.2">
      <c r="A40" s="103">
        <f t="shared" si="0"/>
        <v>25</v>
      </c>
      <c r="B40" s="256"/>
      <c r="C40" s="104"/>
      <c r="D40" s="105" t="s">
        <v>82</v>
      </c>
      <c r="E40" s="106" t="s">
        <v>14</v>
      </c>
      <c r="F40" s="106"/>
      <c r="G40" s="107">
        <f t="shared" ref="G40:G45" si="3">H39+1</f>
        <v>294</v>
      </c>
      <c r="H40" s="107">
        <f>H39+I40</f>
        <v>343</v>
      </c>
      <c r="I40" s="111">
        <v>50</v>
      </c>
      <c r="J40" s="111" t="s">
        <v>15</v>
      </c>
      <c r="K40" s="124"/>
      <c r="L40" s="107"/>
      <c r="M40" s="106"/>
      <c r="N40" s="3" t="s">
        <v>83</v>
      </c>
    </row>
    <row r="41" spans="1:14" ht="15" x14ac:dyDescent="0.2">
      <c r="A41" s="103">
        <f t="shared" si="0"/>
        <v>26</v>
      </c>
      <c r="B41" s="256"/>
      <c r="C41" s="104"/>
      <c r="D41" s="105" t="s">
        <v>84</v>
      </c>
      <c r="E41" s="106" t="s">
        <v>14</v>
      </c>
      <c r="F41" s="106"/>
      <c r="G41" s="107">
        <f t="shared" si="3"/>
        <v>344</v>
      </c>
      <c r="H41" s="107">
        <f>H40+I41</f>
        <v>346</v>
      </c>
      <c r="I41" s="107">
        <v>3</v>
      </c>
      <c r="J41" s="107" t="s">
        <v>18</v>
      </c>
      <c r="K41" s="106"/>
      <c r="L41" s="107"/>
      <c r="M41" s="108"/>
      <c r="N41" s="3" t="s">
        <v>85</v>
      </c>
    </row>
    <row r="42" spans="1:14" ht="36" customHeight="1" x14ac:dyDescent="0.2">
      <c r="A42" s="103">
        <f t="shared" si="0"/>
        <v>27</v>
      </c>
      <c r="B42" s="256"/>
      <c r="C42" s="104"/>
      <c r="D42" s="105" t="s">
        <v>86</v>
      </c>
      <c r="E42" s="106" t="s">
        <v>14</v>
      </c>
      <c r="F42" s="106"/>
      <c r="G42" s="107">
        <f t="shared" si="3"/>
        <v>347</v>
      </c>
      <c r="H42" s="107">
        <f>H41+I42</f>
        <v>353</v>
      </c>
      <c r="I42" s="107">
        <v>7</v>
      </c>
      <c r="J42" s="107" t="s">
        <v>18</v>
      </c>
      <c r="K42" s="106"/>
      <c r="L42" s="107"/>
      <c r="M42" s="108"/>
      <c r="N42" s="108" t="s">
        <v>87</v>
      </c>
    </row>
    <row r="43" spans="1:14" ht="36" customHeight="1" x14ac:dyDescent="0.2">
      <c r="A43" s="144">
        <f>A42+1</f>
        <v>28</v>
      </c>
      <c r="B43" s="255"/>
      <c r="C43" s="160"/>
      <c r="D43" s="161" t="s">
        <v>88</v>
      </c>
      <c r="E43" s="145" t="s">
        <v>14</v>
      </c>
      <c r="F43" s="145"/>
      <c r="G43" s="146">
        <f t="shared" si="3"/>
        <v>354</v>
      </c>
      <c r="H43" s="146">
        <f>H42+I43</f>
        <v>362</v>
      </c>
      <c r="I43" s="146">
        <v>9</v>
      </c>
      <c r="J43" s="146" t="s">
        <v>18</v>
      </c>
      <c r="K43" s="145"/>
      <c r="L43" s="146"/>
      <c r="M43" s="145" t="s">
        <v>42</v>
      </c>
      <c r="N43" s="162" t="s">
        <v>89</v>
      </c>
    </row>
    <row r="44" spans="1:14" ht="54" customHeight="1" x14ac:dyDescent="0.2">
      <c r="A44" s="2">
        <f t="shared" si="0"/>
        <v>29</v>
      </c>
      <c r="B44" s="254"/>
      <c r="C44" s="13"/>
      <c r="D44" s="30" t="s">
        <v>90</v>
      </c>
      <c r="E44" s="29" t="s">
        <v>14</v>
      </c>
      <c r="F44" s="29"/>
      <c r="G44" s="28">
        <f t="shared" si="3"/>
        <v>363</v>
      </c>
      <c r="H44" s="28">
        <f>H43+I44</f>
        <v>371</v>
      </c>
      <c r="I44" s="28">
        <v>9</v>
      </c>
      <c r="J44" s="28" t="s">
        <v>18</v>
      </c>
      <c r="K44" s="29"/>
      <c r="L44" s="28"/>
      <c r="M44" s="3"/>
      <c r="N44" s="3" t="s">
        <v>91</v>
      </c>
    </row>
    <row r="45" spans="1:14" ht="15" x14ac:dyDescent="0.2">
      <c r="A45" s="288">
        <f t="shared" si="0"/>
        <v>30</v>
      </c>
      <c r="B45" s="292"/>
      <c r="C45" s="293"/>
      <c r="D45" s="294" t="s">
        <v>28</v>
      </c>
      <c r="E45" s="289" t="s">
        <v>14</v>
      </c>
      <c r="F45" s="289"/>
      <c r="G45" s="290">
        <f t="shared" si="3"/>
        <v>372</v>
      </c>
      <c r="H45" s="290">
        <v>600</v>
      </c>
      <c r="I45" s="290">
        <f>H45-G45+1</f>
        <v>229</v>
      </c>
      <c r="J45" s="290" t="s">
        <v>15</v>
      </c>
      <c r="K45" s="289"/>
      <c r="L45" s="290"/>
      <c r="M45" s="291"/>
      <c r="N45" s="295" t="s">
        <v>29</v>
      </c>
    </row>
    <row r="46" spans="1:14" ht="14.45" customHeight="1" x14ac:dyDescent="0.2">
      <c r="A46" s="324"/>
      <c r="B46" s="325"/>
      <c r="C46" s="325"/>
      <c r="D46" s="325"/>
      <c r="E46" s="325"/>
      <c r="F46" s="325"/>
      <c r="G46" s="325"/>
      <c r="H46" s="325"/>
      <c r="I46" s="325"/>
      <c r="J46" s="325"/>
      <c r="K46" s="325"/>
      <c r="L46" s="325"/>
      <c r="M46" s="325"/>
      <c r="N46" s="326"/>
    </row>
    <row r="47" spans="1:14" ht="15" customHeight="1" x14ac:dyDescent="0.2">
      <c r="A47" s="103">
        <f>A45+1</f>
        <v>31</v>
      </c>
      <c r="B47" s="103" t="s">
        <v>1747</v>
      </c>
      <c r="C47" s="163" t="s">
        <v>92</v>
      </c>
      <c r="D47" s="164"/>
      <c r="E47" s="106" t="s">
        <v>14</v>
      </c>
      <c r="F47" s="106" t="s">
        <v>1750</v>
      </c>
      <c r="G47" s="107">
        <f>$H$16+1</f>
        <v>7</v>
      </c>
      <c r="H47" s="107">
        <f>I47+$H$16</f>
        <v>9</v>
      </c>
      <c r="I47" s="107">
        <v>3</v>
      </c>
      <c r="J47" s="107" t="s">
        <v>18</v>
      </c>
      <c r="K47" s="106" t="s">
        <v>1755</v>
      </c>
      <c r="L47" s="107"/>
      <c r="M47" s="108"/>
      <c r="N47" s="158" t="s">
        <v>93</v>
      </c>
    </row>
    <row r="48" spans="1:14" ht="30" customHeight="1" x14ac:dyDescent="0.2">
      <c r="A48" s="103">
        <f>A47+1</f>
        <v>32</v>
      </c>
      <c r="B48" s="256" t="s">
        <v>1749</v>
      </c>
      <c r="C48" s="104" t="s">
        <v>1744</v>
      </c>
      <c r="D48" s="105" t="s">
        <v>94</v>
      </c>
      <c r="E48" s="110">
        <v>6</v>
      </c>
      <c r="F48" s="110" t="s">
        <v>1747</v>
      </c>
      <c r="G48" s="107">
        <f>H47+1</f>
        <v>10</v>
      </c>
      <c r="H48" s="107">
        <f>H47+I48</f>
        <v>11</v>
      </c>
      <c r="I48" s="111">
        <v>2</v>
      </c>
      <c r="J48" s="111" t="s">
        <v>18</v>
      </c>
      <c r="K48" s="124" t="s">
        <v>1755</v>
      </c>
      <c r="L48" s="107"/>
      <c r="M48" s="108"/>
      <c r="N48" s="31" t="s">
        <v>95</v>
      </c>
    </row>
    <row r="49" spans="1:14" ht="38.25" x14ac:dyDescent="0.2">
      <c r="A49" s="103">
        <f t="shared" si="0"/>
        <v>33</v>
      </c>
      <c r="B49" s="256" t="s">
        <v>1751</v>
      </c>
      <c r="C49" s="104" t="s">
        <v>1745</v>
      </c>
      <c r="D49" s="105" t="s">
        <v>96</v>
      </c>
      <c r="E49" s="110">
        <v>8</v>
      </c>
      <c r="F49" s="110" t="s">
        <v>1747</v>
      </c>
      <c r="G49" s="107">
        <f t="shared" ref="G49:G62" si="4">H48+1</f>
        <v>12</v>
      </c>
      <c r="H49" s="107">
        <f t="shared" ref="H49:H62" si="5">H48+I49</f>
        <v>71</v>
      </c>
      <c r="I49" s="111">
        <v>60</v>
      </c>
      <c r="J49" s="111" t="s">
        <v>15</v>
      </c>
      <c r="K49" s="124" t="s">
        <v>1755</v>
      </c>
      <c r="L49" s="107"/>
      <c r="M49" s="108"/>
      <c r="N49" s="109" t="s">
        <v>97</v>
      </c>
    </row>
    <row r="50" spans="1:14" ht="15" x14ac:dyDescent="0.2">
      <c r="A50" s="103">
        <f t="shared" si="0"/>
        <v>34</v>
      </c>
      <c r="B50" s="256" t="s">
        <v>1753</v>
      </c>
      <c r="C50" s="104" t="s">
        <v>1754</v>
      </c>
      <c r="D50" s="105" t="s">
        <v>98</v>
      </c>
      <c r="E50" s="110">
        <v>9</v>
      </c>
      <c r="F50" s="110" t="s">
        <v>1747</v>
      </c>
      <c r="G50" s="107">
        <f t="shared" si="4"/>
        <v>72</v>
      </c>
      <c r="H50" s="107">
        <f t="shared" si="5"/>
        <v>72</v>
      </c>
      <c r="I50" s="111">
        <v>1</v>
      </c>
      <c r="J50" s="111" t="s">
        <v>18</v>
      </c>
      <c r="K50" s="124" t="s">
        <v>1755</v>
      </c>
      <c r="L50" s="107"/>
      <c r="M50" s="108"/>
      <c r="N50" s="109" t="s">
        <v>99</v>
      </c>
    </row>
    <row r="51" spans="1:14" s="117" customFormat="1" ht="48.75" customHeight="1" x14ac:dyDescent="0.2">
      <c r="A51" s="103">
        <f t="shared" si="0"/>
        <v>35</v>
      </c>
      <c r="B51" s="256" t="s">
        <v>1756</v>
      </c>
      <c r="C51" s="104" t="s">
        <v>1757</v>
      </c>
      <c r="D51" s="105" t="s">
        <v>100</v>
      </c>
      <c r="E51" s="110">
        <v>10</v>
      </c>
      <c r="F51" s="110" t="s">
        <v>1747</v>
      </c>
      <c r="G51" s="107">
        <f t="shared" si="4"/>
        <v>73</v>
      </c>
      <c r="H51" s="107">
        <f t="shared" si="5"/>
        <v>74</v>
      </c>
      <c r="I51" s="111">
        <v>2</v>
      </c>
      <c r="J51" s="111" t="s">
        <v>18</v>
      </c>
      <c r="K51" s="124" t="s">
        <v>1755</v>
      </c>
      <c r="L51" s="107"/>
      <c r="M51" s="108"/>
      <c r="N51" s="109" t="s">
        <v>101</v>
      </c>
    </row>
    <row r="52" spans="1:14" ht="51" x14ac:dyDescent="0.2">
      <c r="A52" s="103">
        <f t="shared" si="0"/>
        <v>36</v>
      </c>
      <c r="B52" s="256" t="s">
        <v>1759</v>
      </c>
      <c r="C52" s="104" t="s">
        <v>1758</v>
      </c>
      <c r="D52" s="105" t="s">
        <v>102</v>
      </c>
      <c r="E52" s="110">
        <v>11</v>
      </c>
      <c r="F52" s="110" t="s">
        <v>1747</v>
      </c>
      <c r="G52" s="107">
        <f t="shared" si="4"/>
        <v>75</v>
      </c>
      <c r="H52" s="107">
        <f t="shared" si="5"/>
        <v>77</v>
      </c>
      <c r="I52" s="111">
        <v>3</v>
      </c>
      <c r="J52" s="111" t="s">
        <v>18</v>
      </c>
      <c r="K52" s="124" t="s">
        <v>1755</v>
      </c>
      <c r="L52" s="107"/>
      <c r="M52" s="108"/>
      <c r="N52" s="109" t="s">
        <v>103</v>
      </c>
    </row>
    <row r="53" spans="1:14" ht="15" x14ac:dyDescent="0.2">
      <c r="A53" s="103">
        <f t="shared" si="0"/>
        <v>37</v>
      </c>
      <c r="B53" s="256" t="s">
        <v>1760</v>
      </c>
      <c r="C53" s="104" t="s">
        <v>1761</v>
      </c>
      <c r="D53" s="105" t="s">
        <v>104</v>
      </c>
      <c r="E53" s="110">
        <v>12</v>
      </c>
      <c r="F53" s="110" t="s">
        <v>1747</v>
      </c>
      <c r="G53" s="107">
        <f t="shared" si="4"/>
        <v>78</v>
      </c>
      <c r="H53" s="107">
        <f t="shared" si="5"/>
        <v>86</v>
      </c>
      <c r="I53" s="111">
        <v>9</v>
      </c>
      <c r="J53" s="111" t="s">
        <v>18</v>
      </c>
      <c r="K53" s="124" t="s">
        <v>1755</v>
      </c>
      <c r="L53" s="107"/>
      <c r="M53" s="108"/>
      <c r="N53" s="109"/>
    </row>
    <row r="54" spans="1:14" s="117" customFormat="1" ht="15" x14ac:dyDescent="0.2">
      <c r="A54" s="103">
        <f t="shared" si="0"/>
        <v>38</v>
      </c>
      <c r="B54" s="256" t="s">
        <v>1762</v>
      </c>
      <c r="C54" s="104" t="s">
        <v>1763</v>
      </c>
      <c r="D54" s="105" t="s">
        <v>105</v>
      </c>
      <c r="E54" s="110">
        <v>13</v>
      </c>
      <c r="F54" s="110" t="s">
        <v>1747</v>
      </c>
      <c r="G54" s="107">
        <f t="shared" si="4"/>
        <v>87</v>
      </c>
      <c r="H54" s="107">
        <f t="shared" si="5"/>
        <v>96</v>
      </c>
      <c r="I54" s="111">
        <v>10</v>
      </c>
      <c r="J54" s="111" t="s">
        <v>106</v>
      </c>
      <c r="K54" s="124" t="s">
        <v>1755</v>
      </c>
      <c r="L54" s="107"/>
      <c r="M54" s="108" t="s">
        <v>107</v>
      </c>
      <c r="N54" s="109" t="s">
        <v>108</v>
      </c>
    </row>
    <row r="55" spans="1:14" s="117" customFormat="1" ht="15" x14ac:dyDescent="0.2">
      <c r="A55" s="103">
        <f t="shared" si="0"/>
        <v>39</v>
      </c>
      <c r="B55" s="256" t="s">
        <v>1764</v>
      </c>
      <c r="C55" s="104" t="s">
        <v>1765</v>
      </c>
      <c r="D55" s="105" t="s">
        <v>109</v>
      </c>
      <c r="E55" s="110">
        <v>14</v>
      </c>
      <c r="F55" s="110" t="s">
        <v>1747</v>
      </c>
      <c r="G55" s="107">
        <f t="shared" si="4"/>
        <v>97</v>
      </c>
      <c r="H55" s="107">
        <f t="shared" si="5"/>
        <v>106</v>
      </c>
      <c r="I55" s="111">
        <v>10</v>
      </c>
      <c r="J55" s="111" t="s">
        <v>106</v>
      </c>
      <c r="K55" s="124" t="s">
        <v>1769</v>
      </c>
      <c r="L55" s="107"/>
      <c r="M55" s="108" t="s">
        <v>107</v>
      </c>
      <c r="N55" s="109" t="s">
        <v>110</v>
      </c>
    </row>
    <row r="56" spans="1:14" ht="15" x14ac:dyDescent="0.2">
      <c r="A56" s="103">
        <f t="shared" si="0"/>
        <v>40</v>
      </c>
      <c r="B56" s="256" t="s">
        <v>1767</v>
      </c>
      <c r="C56" s="104" t="s">
        <v>1768</v>
      </c>
      <c r="D56" s="105" t="s">
        <v>1766</v>
      </c>
      <c r="E56" s="110">
        <v>15</v>
      </c>
      <c r="F56" s="110" t="s">
        <v>1747</v>
      </c>
      <c r="G56" s="107">
        <f t="shared" si="4"/>
        <v>107</v>
      </c>
      <c r="H56" s="107">
        <f t="shared" si="5"/>
        <v>107</v>
      </c>
      <c r="I56" s="111">
        <v>1</v>
      </c>
      <c r="J56" s="111" t="s">
        <v>18</v>
      </c>
      <c r="K56" s="124" t="s">
        <v>1755</v>
      </c>
      <c r="L56" s="107"/>
      <c r="M56" s="108"/>
      <c r="N56" s="109" t="s">
        <v>112</v>
      </c>
    </row>
    <row r="57" spans="1:14" ht="25.5" x14ac:dyDescent="0.2">
      <c r="A57" s="103">
        <f t="shared" si="0"/>
        <v>41</v>
      </c>
      <c r="B57" s="256" t="s">
        <v>1770</v>
      </c>
      <c r="C57" s="104" t="s">
        <v>1743</v>
      </c>
      <c r="D57" s="105" t="s">
        <v>113</v>
      </c>
      <c r="E57" s="110">
        <v>16</v>
      </c>
      <c r="F57" s="110" t="s">
        <v>1747</v>
      </c>
      <c r="G57" s="107">
        <f t="shared" si="4"/>
        <v>108</v>
      </c>
      <c r="H57" s="107">
        <f t="shared" si="5"/>
        <v>114</v>
      </c>
      <c r="I57" s="111">
        <v>7</v>
      </c>
      <c r="J57" s="111" t="s">
        <v>18</v>
      </c>
      <c r="K57" s="124" t="s">
        <v>1755</v>
      </c>
      <c r="L57" s="107"/>
      <c r="M57" s="108"/>
      <c r="N57" s="109" t="s">
        <v>114</v>
      </c>
    </row>
    <row r="58" spans="1:14" ht="15" x14ac:dyDescent="0.2">
      <c r="A58" s="103">
        <f t="shared" si="0"/>
        <v>42</v>
      </c>
      <c r="B58" s="256" t="s">
        <v>1771</v>
      </c>
      <c r="C58" s="104" t="s">
        <v>1773</v>
      </c>
      <c r="D58" s="105" t="s">
        <v>115</v>
      </c>
      <c r="E58" s="110">
        <v>25</v>
      </c>
      <c r="F58" s="110" t="s">
        <v>1747</v>
      </c>
      <c r="G58" s="107">
        <f t="shared" si="4"/>
        <v>115</v>
      </c>
      <c r="H58" s="107">
        <f t="shared" si="5"/>
        <v>115</v>
      </c>
      <c r="I58" s="111">
        <v>1</v>
      </c>
      <c r="J58" s="111" t="s">
        <v>18</v>
      </c>
      <c r="K58" s="124" t="s">
        <v>1755</v>
      </c>
      <c r="L58" s="107"/>
      <c r="M58" s="108"/>
      <c r="N58" s="109" t="s">
        <v>116</v>
      </c>
    </row>
    <row r="59" spans="1:14" ht="146.44999999999999" customHeight="1" x14ac:dyDescent="0.2">
      <c r="A59" s="103">
        <f t="shared" si="0"/>
        <v>43</v>
      </c>
      <c r="B59" s="256" t="s">
        <v>1774</v>
      </c>
      <c r="C59" s="104" t="s">
        <v>1775</v>
      </c>
      <c r="D59" s="105" t="s">
        <v>117</v>
      </c>
      <c r="E59" s="110">
        <v>26</v>
      </c>
      <c r="F59" s="110" t="s">
        <v>1747</v>
      </c>
      <c r="G59" s="107">
        <f t="shared" si="4"/>
        <v>116</v>
      </c>
      <c r="H59" s="107">
        <f t="shared" si="5"/>
        <v>116</v>
      </c>
      <c r="I59" s="111">
        <v>1</v>
      </c>
      <c r="J59" s="111" t="s">
        <v>18</v>
      </c>
      <c r="K59" s="124" t="s">
        <v>1755</v>
      </c>
      <c r="L59" s="107"/>
      <c r="M59" s="108"/>
      <c r="N59" s="109" t="s">
        <v>1740</v>
      </c>
    </row>
    <row r="60" spans="1:14" s="117" customFormat="1" ht="76.5" x14ac:dyDescent="0.2">
      <c r="A60" s="103">
        <f t="shared" si="0"/>
        <v>44</v>
      </c>
      <c r="B60" s="256" t="s">
        <v>1776</v>
      </c>
      <c r="C60" s="104" t="s">
        <v>1777</v>
      </c>
      <c r="D60" s="105" t="s">
        <v>118</v>
      </c>
      <c r="E60" s="110">
        <v>29</v>
      </c>
      <c r="F60" s="110" t="s">
        <v>1747</v>
      </c>
      <c r="G60" s="107">
        <f t="shared" si="4"/>
        <v>117</v>
      </c>
      <c r="H60" s="107">
        <f t="shared" si="5"/>
        <v>117</v>
      </c>
      <c r="I60" s="111">
        <v>1</v>
      </c>
      <c r="J60" s="111" t="s">
        <v>18</v>
      </c>
      <c r="K60" s="124" t="s">
        <v>1755</v>
      </c>
      <c r="L60" s="107"/>
      <c r="M60" s="108"/>
      <c r="N60" s="250" t="s">
        <v>1856</v>
      </c>
    </row>
    <row r="61" spans="1:14" ht="60.6" customHeight="1" x14ac:dyDescent="0.2">
      <c r="A61" s="103">
        <f t="shared" si="0"/>
        <v>45</v>
      </c>
      <c r="B61" s="256" t="s">
        <v>1778</v>
      </c>
      <c r="C61" s="104" t="s">
        <v>1779</v>
      </c>
      <c r="D61" s="173" t="s">
        <v>119</v>
      </c>
      <c r="E61" s="182" t="s">
        <v>120</v>
      </c>
      <c r="F61" s="110" t="s">
        <v>1747</v>
      </c>
      <c r="G61" s="101">
        <f t="shared" si="4"/>
        <v>118</v>
      </c>
      <c r="H61" s="101">
        <f t="shared" si="5"/>
        <v>118</v>
      </c>
      <c r="I61" s="206">
        <v>1</v>
      </c>
      <c r="J61" s="206" t="s">
        <v>18</v>
      </c>
      <c r="K61" s="185" t="s">
        <v>1755</v>
      </c>
      <c r="L61" s="101"/>
      <c r="M61" s="102"/>
      <c r="N61" s="162" t="s">
        <v>121</v>
      </c>
    </row>
    <row r="62" spans="1:14" ht="15" x14ac:dyDescent="0.2">
      <c r="A62" s="103">
        <f t="shared" si="0"/>
        <v>46</v>
      </c>
      <c r="B62" s="256" t="s">
        <v>1780</v>
      </c>
      <c r="C62" s="104" t="s">
        <v>1781</v>
      </c>
      <c r="D62" s="105" t="s">
        <v>122</v>
      </c>
      <c r="E62" s="110" t="s">
        <v>123</v>
      </c>
      <c r="F62" s="110" t="s">
        <v>1747</v>
      </c>
      <c r="G62" s="107">
        <f t="shared" si="4"/>
        <v>119</v>
      </c>
      <c r="H62" s="107">
        <f t="shared" si="5"/>
        <v>138</v>
      </c>
      <c r="I62" s="111">
        <v>20</v>
      </c>
      <c r="J62" s="111" t="s">
        <v>15</v>
      </c>
      <c r="K62" s="124" t="s">
        <v>1755</v>
      </c>
      <c r="L62" s="107"/>
      <c r="M62" s="108"/>
      <c r="N62" s="31" t="s">
        <v>124</v>
      </c>
    </row>
    <row r="63" spans="1:14" s="117" customFormat="1" ht="15" x14ac:dyDescent="0.2">
      <c r="A63" s="103">
        <f t="shared" si="0"/>
        <v>47</v>
      </c>
      <c r="B63" s="256"/>
      <c r="C63" s="104"/>
      <c r="D63" s="105" t="s">
        <v>125</v>
      </c>
      <c r="E63" s="110" t="s">
        <v>126</v>
      </c>
      <c r="F63" s="110"/>
      <c r="G63" s="107">
        <f>H62+1</f>
        <v>139</v>
      </c>
      <c r="H63" s="107">
        <f>H62+I63</f>
        <v>146</v>
      </c>
      <c r="I63" s="111">
        <v>8</v>
      </c>
      <c r="J63" s="111" t="s">
        <v>127</v>
      </c>
      <c r="K63" s="124"/>
      <c r="L63" s="107"/>
      <c r="M63" s="108" t="s">
        <v>128</v>
      </c>
      <c r="N63" s="109" t="s">
        <v>110</v>
      </c>
    </row>
    <row r="64" spans="1:14" s="117" customFormat="1" ht="40.15" customHeight="1" x14ac:dyDescent="0.2">
      <c r="A64" s="103">
        <f t="shared" si="0"/>
        <v>48</v>
      </c>
      <c r="B64" s="256" t="s">
        <v>1782</v>
      </c>
      <c r="C64" s="104" t="s">
        <v>1783</v>
      </c>
      <c r="D64" s="105" t="s">
        <v>129</v>
      </c>
      <c r="E64" s="110">
        <v>27</v>
      </c>
      <c r="F64" s="110" t="s">
        <v>1747</v>
      </c>
      <c r="G64" s="107">
        <v>147</v>
      </c>
      <c r="H64" s="107">
        <f>H63+I64</f>
        <v>147</v>
      </c>
      <c r="I64" s="111">
        <v>1</v>
      </c>
      <c r="J64" s="111" t="s">
        <v>18</v>
      </c>
      <c r="K64" s="124" t="s">
        <v>1755</v>
      </c>
      <c r="L64" s="107"/>
      <c r="M64" s="108"/>
      <c r="N64" s="109" t="s">
        <v>130</v>
      </c>
    </row>
    <row r="65" spans="1:14" s="117" customFormat="1" ht="15" x14ac:dyDescent="0.2">
      <c r="A65" s="103">
        <f t="shared" si="0"/>
        <v>49</v>
      </c>
      <c r="B65" s="256" t="s">
        <v>1772</v>
      </c>
      <c r="C65" s="104" t="s">
        <v>1785</v>
      </c>
      <c r="D65" s="105" t="s">
        <v>131</v>
      </c>
      <c r="E65" s="110" t="s">
        <v>132</v>
      </c>
      <c r="F65" s="110" t="s">
        <v>1787</v>
      </c>
      <c r="G65" s="107">
        <f>H64+1</f>
        <v>148</v>
      </c>
      <c r="H65" s="107">
        <f>H64+I65</f>
        <v>164</v>
      </c>
      <c r="I65" s="111">
        <v>17</v>
      </c>
      <c r="J65" s="111" t="s">
        <v>106</v>
      </c>
      <c r="K65" s="124" t="s">
        <v>1755</v>
      </c>
      <c r="L65" s="107"/>
      <c r="M65" s="108" t="s">
        <v>133</v>
      </c>
      <c r="N65" s="109" t="s">
        <v>134</v>
      </c>
    </row>
    <row r="66" spans="1:14" s="117" customFormat="1" ht="15" x14ac:dyDescent="0.2">
      <c r="A66" s="103">
        <f t="shared" si="0"/>
        <v>50</v>
      </c>
      <c r="B66" s="256" t="s">
        <v>1784</v>
      </c>
      <c r="C66" s="104" t="s">
        <v>1786</v>
      </c>
      <c r="D66" s="105" t="s">
        <v>135</v>
      </c>
      <c r="E66" s="110" t="s">
        <v>136</v>
      </c>
      <c r="F66" s="110" t="s">
        <v>1787</v>
      </c>
      <c r="G66" s="107">
        <f>H65+1</f>
        <v>165</v>
      </c>
      <c r="H66" s="107">
        <f>H65+I66</f>
        <v>420</v>
      </c>
      <c r="I66" s="111">
        <v>256</v>
      </c>
      <c r="J66" s="111" t="s">
        <v>15</v>
      </c>
      <c r="K66" s="124" t="s">
        <v>1755</v>
      </c>
      <c r="L66" s="107"/>
      <c r="M66" s="108"/>
      <c r="N66" s="109"/>
    </row>
    <row r="67" spans="1:14" s="117" customFormat="1" ht="15" x14ac:dyDescent="0.2">
      <c r="A67" s="103">
        <v>50</v>
      </c>
      <c r="B67" s="256" t="s">
        <v>1762</v>
      </c>
      <c r="C67" s="104" t="s">
        <v>1763</v>
      </c>
      <c r="D67" s="105" t="s">
        <v>137</v>
      </c>
      <c r="E67" s="110" t="s">
        <v>138</v>
      </c>
      <c r="F67" s="110" t="s">
        <v>1747</v>
      </c>
      <c r="G67" s="107">
        <f t="shared" ref="G67:G72" si="6">H66+1</f>
        <v>421</v>
      </c>
      <c r="H67" s="107">
        <f t="shared" ref="H67:H72" si="7">H66+I67</f>
        <v>445</v>
      </c>
      <c r="I67" s="111">
        <v>25</v>
      </c>
      <c r="J67" s="111" t="s">
        <v>106</v>
      </c>
      <c r="K67" s="268">
        <v>45658</v>
      </c>
      <c r="L67" s="107"/>
      <c r="M67" s="108" t="s">
        <v>133</v>
      </c>
      <c r="N67" s="109" t="s">
        <v>139</v>
      </c>
    </row>
    <row r="68" spans="1:14" s="117" customFormat="1" ht="15" x14ac:dyDescent="0.2">
      <c r="A68" s="103">
        <v>51</v>
      </c>
      <c r="B68" s="256" t="s">
        <v>1764</v>
      </c>
      <c r="C68" s="104" t="s">
        <v>1765</v>
      </c>
      <c r="D68" s="209" t="s">
        <v>140</v>
      </c>
      <c r="E68" s="103" t="s">
        <v>141</v>
      </c>
      <c r="F68" s="110" t="s">
        <v>1747</v>
      </c>
      <c r="G68" s="107">
        <f t="shared" si="6"/>
        <v>446</v>
      </c>
      <c r="H68" s="107">
        <f t="shared" si="7"/>
        <v>470</v>
      </c>
      <c r="I68" s="111">
        <v>25</v>
      </c>
      <c r="J68" s="103" t="s">
        <v>106</v>
      </c>
      <c r="K68" s="124" t="s">
        <v>1769</v>
      </c>
      <c r="L68" s="103"/>
      <c r="M68" s="108" t="s">
        <v>133</v>
      </c>
      <c r="N68" s="109" t="s">
        <v>139</v>
      </c>
    </row>
    <row r="69" spans="1:14" s="117" customFormat="1" ht="47.45" customHeight="1" x14ac:dyDescent="0.2">
      <c r="A69" s="103">
        <v>52</v>
      </c>
      <c r="B69" s="256" t="s">
        <v>1791</v>
      </c>
      <c r="C69" s="104" t="s">
        <v>1790</v>
      </c>
      <c r="D69" s="105" t="s">
        <v>142</v>
      </c>
      <c r="E69" s="110" t="s">
        <v>143</v>
      </c>
      <c r="F69" s="110" t="s">
        <v>1747</v>
      </c>
      <c r="G69" s="107">
        <f t="shared" si="6"/>
        <v>471</v>
      </c>
      <c r="H69" s="107">
        <f t="shared" si="7"/>
        <v>471</v>
      </c>
      <c r="I69" s="111">
        <v>1</v>
      </c>
      <c r="J69" s="111" t="s">
        <v>18</v>
      </c>
      <c r="K69" s="124" t="s">
        <v>1755</v>
      </c>
      <c r="L69" s="107"/>
      <c r="M69" s="108"/>
      <c r="N69" s="109" t="s">
        <v>144</v>
      </c>
    </row>
    <row r="70" spans="1:14" s="117" customFormat="1" ht="36" customHeight="1" x14ac:dyDescent="0.2">
      <c r="A70" s="103">
        <v>53</v>
      </c>
      <c r="B70" s="256" t="s">
        <v>1789</v>
      </c>
      <c r="C70" s="104" t="s">
        <v>1788</v>
      </c>
      <c r="D70" s="105" t="s">
        <v>145</v>
      </c>
      <c r="E70" s="110" t="s">
        <v>146</v>
      </c>
      <c r="F70" s="110" t="s">
        <v>1747</v>
      </c>
      <c r="G70" s="107">
        <f t="shared" si="6"/>
        <v>472</v>
      </c>
      <c r="H70" s="107">
        <f t="shared" si="7"/>
        <v>472</v>
      </c>
      <c r="I70" s="111">
        <v>1</v>
      </c>
      <c r="J70" s="111" t="s">
        <v>18</v>
      </c>
      <c r="K70" s="124" t="s">
        <v>1755</v>
      </c>
      <c r="L70" s="107"/>
      <c r="M70" s="108"/>
      <c r="N70" s="109" t="s">
        <v>147</v>
      </c>
    </row>
    <row r="71" spans="1:14" s="117" customFormat="1" ht="112.15" customHeight="1" x14ac:dyDescent="0.2">
      <c r="A71" s="103">
        <v>54</v>
      </c>
      <c r="B71" s="256" t="s">
        <v>1772</v>
      </c>
      <c r="C71" s="104" t="s">
        <v>1792</v>
      </c>
      <c r="D71" s="217" t="s">
        <v>148</v>
      </c>
      <c r="E71" s="110" t="s">
        <v>149</v>
      </c>
      <c r="F71" s="110" t="s">
        <v>1747</v>
      </c>
      <c r="G71" s="107">
        <f t="shared" si="6"/>
        <v>473</v>
      </c>
      <c r="H71" s="107">
        <f t="shared" si="7"/>
        <v>473</v>
      </c>
      <c r="I71" s="111">
        <v>1</v>
      </c>
      <c r="J71" s="111" t="s">
        <v>18</v>
      </c>
      <c r="K71" s="124" t="s">
        <v>1755</v>
      </c>
      <c r="L71" s="107"/>
      <c r="M71" s="108"/>
      <c r="N71" s="109" t="s">
        <v>1741</v>
      </c>
    </row>
    <row r="72" spans="1:14" s="117" customFormat="1" ht="15" x14ac:dyDescent="0.2">
      <c r="A72" s="103">
        <f t="shared" si="0"/>
        <v>55</v>
      </c>
      <c r="B72" s="256"/>
      <c r="C72" s="104" t="s">
        <v>1785</v>
      </c>
      <c r="D72" s="105" t="s">
        <v>131</v>
      </c>
      <c r="E72" s="110" t="s">
        <v>132</v>
      </c>
      <c r="F72" s="110" t="s">
        <v>1787</v>
      </c>
      <c r="G72" s="107">
        <f t="shared" si="6"/>
        <v>474</v>
      </c>
      <c r="H72" s="107">
        <f t="shared" si="7"/>
        <v>498</v>
      </c>
      <c r="I72" s="111">
        <v>25</v>
      </c>
      <c r="J72" s="111" t="s">
        <v>106</v>
      </c>
      <c r="K72" s="124" t="s">
        <v>1755</v>
      </c>
      <c r="L72" s="107"/>
      <c r="M72" s="108" t="s">
        <v>133</v>
      </c>
      <c r="N72" s="109" t="s">
        <v>139</v>
      </c>
    </row>
    <row r="73" spans="1:14" s="117" customFormat="1" ht="62.45" customHeight="1" x14ac:dyDescent="0.2">
      <c r="A73" s="103">
        <f t="shared" si="0"/>
        <v>56</v>
      </c>
      <c r="B73" s="256" t="s">
        <v>1793</v>
      </c>
      <c r="C73" s="104" t="s">
        <v>1794</v>
      </c>
      <c r="D73" s="105" t="s">
        <v>150</v>
      </c>
      <c r="E73" s="110" t="s">
        <v>151</v>
      </c>
      <c r="F73" s="110" t="s">
        <v>1747</v>
      </c>
      <c r="G73" s="107">
        <f t="shared" ref="G73" si="8">H72+1</f>
        <v>499</v>
      </c>
      <c r="H73" s="107">
        <f t="shared" ref="H73" si="9">H72+I73</f>
        <v>499</v>
      </c>
      <c r="I73" s="111">
        <v>1</v>
      </c>
      <c r="J73" s="111" t="s">
        <v>18</v>
      </c>
      <c r="K73" s="124" t="s">
        <v>1769</v>
      </c>
      <c r="L73" s="107"/>
      <c r="M73" s="108"/>
      <c r="N73" s="109" t="s">
        <v>152</v>
      </c>
    </row>
    <row r="74" spans="1:14" s="117" customFormat="1" ht="25.5" x14ac:dyDescent="0.2">
      <c r="A74" s="249">
        <v>57</v>
      </c>
      <c r="B74" s="299" t="s">
        <v>1523</v>
      </c>
      <c r="C74" s="300" t="s">
        <v>2119</v>
      </c>
      <c r="D74" s="301" t="s">
        <v>1522</v>
      </c>
      <c r="E74" s="302" t="s">
        <v>1837</v>
      </c>
      <c r="F74" s="302" t="s">
        <v>1747</v>
      </c>
      <c r="G74" s="284">
        <f t="shared" ref="G74" si="10">H73+1</f>
        <v>500</v>
      </c>
      <c r="H74" s="284">
        <f t="shared" ref="H74" si="11">H73+I74</f>
        <v>506</v>
      </c>
      <c r="I74" s="303">
        <v>7</v>
      </c>
      <c r="J74" s="303" t="s">
        <v>18</v>
      </c>
      <c r="K74" s="304" t="s">
        <v>1769</v>
      </c>
      <c r="L74" s="284"/>
      <c r="M74" s="186"/>
      <c r="N74" s="250" t="s">
        <v>1524</v>
      </c>
    </row>
    <row r="75" spans="1:14" s="117" customFormat="1" ht="51" x14ac:dyDescent="0.2">
      <c r="A75" s="249">
        <v>59</v>
      </c>
      <c r="B75" s="299" t="s">
        <v>1528</v>
      </c>
      <c r="C75" s="300" t="s">
        <v>2120</v>
      </c>
      <c r="D75" s="301" t="s">
        <v>1525</v>
      </c>
      <c r="E75" s="302" t="s">
        <v>1834</v>
      </c>
      <c r="F75" s="302" t="s">
        <v>1795</v>
      </c>
      <c r="G75" s="284">
        <f t="shared" ref="G75:G80" si="12">H74+1</f>
        <v>507</v>
      </c>
      <c r="H75" s="284">
        <f t="shared" ref="H75:H80" si="13">H74+I75</f>
        <v>507</v>
      </c>
      <c r="I75" s="303">
        <v>1</v>
      </c>
      <c r="J75" s="303" t="s">
        <v>18</v>
      </c>
      <c r="K75" s="304" t="s">
        <v>1755</v>
      </c>
      <c r="L75" s="284"/>
      <c r="M75" s="186"/>
      <c r="N75" s="250" t="s">
        <v>1526</v>
      </c>
    </row>
    <row r="76" spans="1:14" s="117" customFormat="1" ht="15" x14ac:dyDescent="0.2">
      <c r="A76" s="249">
        <v>60</v>
      </c>
      <c r="B76" s="299" t="s">
        <v>1796</v>
      </c>
      <c r="C76" s="300" t="s">
        <v>2121</v>
      </c>
      <c r="D76" s="301" t="s">
        <v>1527</v>
      </c>
      <c r="E76" s="302" t="s">
        <v>1835</v>
      </c>
      <c r="F76" s="302" t="s">
        <v>1795</v>
      </c>
      <c r="G76" s="284">
        <f t="shared" si="12"/>
        <v>508</v>
      </c>
      <c r="H76" s="284">
        <f t="shared" si="13"/>
        <v>514</v>
      </c>
      <c r="I76" s="303">
        <v>7</v>
      </c>
      <c r="J76" s="303" t="s">
        <v>18</v>
      </c>
      <c r="K76" s="304"/>
      <c r="L76" s="284" t="s">
        <v>1529</v>
      </c>
      <c r="M76" s="186"/>
      <c r="N76" s="250" t="s">
        <v>1530</v>
      </c>
    </row>
    <row r="77" spans="1:14" s="117" customFormat="1" ht="38.25" x14ac:dyDescent="0.2">
      <c r="A77" s="249">
        <v>61</v>
      </c>
      <c r="B77" s="299" t="s">
        <v>1536</v>
      </c>
      <c r="C77" s="300" t="s">
        <v>2122</v>
      </c>
      <c r="D77" s="301" t="s">
        <v>1535</v>
      </c>
      <c r="E77" s="302" t="s">
        <v>1836</v>
      </c>
      <c r="F77" s="302" t="s">
        <v>1795</v>
      </c>
      <c r="G77" s="284">
        <f t="shared" si="12"/>
        <v>515</v>
      </c>
      <c r="H77" s="284">
        <f t="shared" si="13"/>
        <v>515</v>
      </c>
      <c r="I77" s="303">
        <v>1</v>
      </c>
      <c r="J77" s="303" t="s">
        <v>18</v>
      </c>
      <c r="K77" s="304" t="s">
        <v>1755</v>
      </c>
      <c r="L77" s="284"/>
      <c r="M77" s="186"/>
      <c r="N77" s="250" t="s">
        <v>1537</v>
      </c>
    </row>
    <row r="78" spans="1:14" s="117" customFormat="1" ht="102" x14ac:dyDescent="0.2">
      <c r="A78" s="249">
        <v>62</v>
      </c>
      <c r="B78" s="299" t="s">
        <v>1532</v>
      </c>
      <c r="C78" s="300" t="s">
        <v>2123</v>
      </c>
      <c r="D78" s="301" t="s">
        <v>1531</v>
      </c>
      <c r="E78" s="302" t="s">
        <v>146</v>
      </c>
      <c r="F78" s="302" t="s">
        <v>1747</v>
      </c>
      <c r="G78" s="284">
        <f t="shared" si="12"/>
        <v>516</v>
      </c>
      <c r="H78" s="284">
        <f t="shared" si="13"/>
        <v>517</v>
      </c>
      <c r="I78" s="303">
        <v>2</v>
      </c>
      <c r="J78" s="303" t="s">
        <v>18</v>
      </c>
      <c r="K78" s="304" t="s">
        <v>1769</v>
      </c>
      <c r="L78" s="284"/>
      <c r="M78" s="186"/>
      <c r="N78" s="250" t="s">
        <v>1880</v>
      </c>
    </row>
    <row r="79" spans="1:14" s="117" customFormat="1" ht="76.5" x14ac:dyDescent="0.2">
      <c r="A79" s="249">
        <v>63</v>
      </c>
      <c r="B79" s="299" t="s">
        <v>1534</v>
      </c>
      <c r="C79" s="300" t="s">
        <v>2124</v>
      </c>
      <c r="D79" s="301" t="s">
        <v>1533</v>
      </c>
      <c r="E79" s="302" t="s">
        <v>149</v>
      </c>
      <c r="F79" s="302" t="s">
        <v>1747</v>
      </c>
      <c r="G79" s="284">
        <f t="shared" si="12"/>
        <v>518</v>
      </c>
      <c r="H79" s="284">
        <f t="shared" si="13"/>
        <v>519</v>
      </c>
      <c r="I79" s="303">
        <v>2</v>
      </c>
      <c r="J79" s="303" t="s">
        <v>18</v>
      </c>
      <c r="K79" s="304" t="s">
        <v>1769</v>
      </c>
      <c r="L79" s="284"/>
      <c r="M79" s="186"/>
      <c r="N79" s="250" t="s">
        <v>1881</v>
      </c>
    </row>
    <row r="80" spans="1:14" s="117" customFormat="1" ht="15" x14ac:dyDescent="0.2">
      <c r="A80" s="307">
        <v>64</v>
      </c>
      <c r="B80" s="313" t="s">
        <v>2125</v>
      </c>
      <c r="C80" s="314" t="s">
        <v>1878</v>
      </c>
      <c r="D80" s="319" t="s">
        <v>2126</v>
      </c>
      <c r="E80" s="320" t="s">
        <v>126</v>
      </c>
      <c r="F80" s="320"/>
      <c r="G80" s="311">
        <f t="shared" si="12"/>
        <v>520</v>
      </c>
      <c r="H80" s="311">
        <f t="shared" si="13"/>
        <v>529</v>
      </c>
      <c r="I80" s="317">
        <v>10</v>
      </c>
      <c r="J80" s="317" t="s">
        <v>106</v>
      </c>
      <c r="K80" s="318"/>
      <c r="L80" s="311"/>
      <c r="M80" s="312"/>
      <c r="N80" s="321" t="s">
        <v>1879</v>
      </c>
    </row>
    <row r="81" spans="1:101" s="279" customFormat="1" x14ac:dyDescent="0.2">
      <c r="A81" s="249">
        <f>A80+1</f>
        <v>65</v>
      </c>
      <c r="B81" s="249" t="s">
        <v>2138</v>
      </c>
      <c r="C81" s="232" t="s">
        <v>2139</v>
      </c>
      <c r="D81" s="232" t="s">
        <v>1872</v>
      </c>
      <c r="E81" s="283" t="s">
        <v>1873</v>
      </c>
      <c r="F81" s="283"/>
      <c r="G81" s="284">
        <f t="shared" ref="G81" si="14">H80+1</f>
        <v>530</v>
      </c>
      <c r="H81" s="284">
        <f t="shared" ref="H81" si="15">H80+I81</f>
        <v>573</v>
      </c>
      <c r="I81" s="284">
        <v>44</v>
      </c>
      <c r="J81" s="284" t="s">
        <v>15</v>
      </c>
      <c r="K81" s="283"/>
      <c r="L81" s="284"/>
      <c r="M81" s="186"/>
      <c r="N81" s="285" t="s">
        <v>1874</v>
      </c>
      <c r="O81" s="117"/>
      <c r="P81" s="117"/>
      <c r="Q81" s="117"/>
      <c r="R81" s="117"/>
      <c r="S81" s="117"/>
      <c r="T81" s="117"/>
      <c r="U81" s="117"/>
      <c r="V81" s="117"/>
      <c r="W81" s="117"/>
      <c r="X81" s="117"/>
      <c r="Y81" s="117"/>
      <c r="Z81" s="117"/>
      <c r="AA81" s="117"/>
      <c r="AB81" s="117"/>
      <c r="AC81" s="117"/>
      <c r="AD81" s="117"/>
      <c r="AE81" s="117"/>
      <c r="AF81" s="117"/>
      <c r="AG81" s="117"/>
      <c r="AH81" s="117"/>
      <c r="AI81" s="117"/>
      <c r="AJ81" s="117"/>
      <c r="AK81" s="117"/>
      <c r="AL81" s="117"/>
      <c r="AM81" s="117"/>
      <c r="AN81" s="117"/>
      <c r="AO81" s="117"/>
      <c r="AP81" s="117"/>
      <c r="AQ81" s="117"/>
      <c r="AR81" s="117"/>
      <c r="AS81" s="117"/>
      <c r="AT81" s="117"/>
      <c r="AU81" s="117"/>
      <c r="AV81" s="117"/>
      <c r="AW81" s="117"/>
      <c r="AX81" s="117"/>
      <c r="AY81" s="117"/>
      <c r="AZ81" s="117"/>
      <c r="BA81" s="117"/>
      <c r="BB81" s="117"/>
      <c r="BC81" s="117"/>
      <c r="BD81" s="117"/>
      <c r="BE81" s="117"/>
      <c r="BF81" s="117"/>
      <c r="BG81" s="117"/>
      <c r="BH81" s="117"/>
      <c r="BI81" s="117"/>
      <c r="BJ81" s="117"/>
      <c r="BK81" s="117"/>
      <c r="BL81" s="117"/>
      <c r="BM81" s="117"/>
      <c r="BN81" s="117"/>
      <c r="BO81" s="117"/>
      <c r="BP81" s="117"/>
      <c r="BQ81" s="117"/>
      <c r="BR81" s="117"/>
      <c r="BS81" s="117"/>
      <c r="BT81" s="117"/>
      <c r="BU81" s="117"/>
      <c r="BV81" s="117"/>
      <c r="BW81" s="117"/>
      <c r="BX81" s="117"/>
      <c r="BY81" s="117"/>
      <c r="BZ81" s="117"/>
      <c r="CA81" s="117"/>
      <c r="CB81" s="117"/>
      <c r="CC81" s="117"/>
      <c r="CD81" s="117"/>
      <c r="CE81" s="117"/>
      <c r="CF81" s="117"/>
      <c r="CG81" s="117"/>
      <c r="CH81" s="117"/>
      <c r="CI81" s="117"/>
      <c r="CJ81" s="117"/>
      <c r="CK81" s="117"/>
      <c r="CL81" s="117"/>
      <c r="CM81" s="117"/>
      <c r="CN81" s="117"/>
      <c r="CO81" s="117"/>
      <c r="CP81" s="117"/>
      <c r="CQ81" s="117"/>
      <c r="CR81" s="117"/>
      <c r="CS81" s="117"/>
      <c r="CT81" s="117"/>
      <c r="CU81" s="117"/>
      <c r="CV81" s="117"/>
      <c r="CW81" s="117"/>
    </row>
    <row r="82" spans="1:101" s="117" customFormat="1" ht="15" x14ac:dyDescent="0.2">
      <c r="A82" s="288">
        <v>65</v>
      </c>
      <c r="B82" s="292"/>
      <c r="C82" s="293"/>
      <c r="D82" s="294" t="s">
        <v>28</v>
      </c>
      <c r="E82" s="289" t="s">
        <v>14</v>
      </c>
      <c r="F82" s="289"/>
      <c r="G82" s="290">
        <f>H81+1</f>
        <v>574</v>
      </c>
      <c r="H82" s="290">
        <v>600</v>
      </c>
      <c r="I82" s="290">
        <f>H82-H81</f>
        <v>27</v>
      </c>
      <c r="J82" s="290" t="s">
        <v>15</v>
      </c>
      <c r="K82" s="289"/>
      <c r="L82" s="290"/>
      <c r="M82" s="291"/>
      <c r="N82" s="291" t="s">
        <v>29</v>
      </c>
    </row>
    <row r="83" spans="1:101" ht="14.45" customHeight="1" x14ac:dyDescent="0.2">
      <c r="A83" s="324"/>
      <c r="B83" s="325"/>
      <c r="C83" s="325"/>
      <c r="D83" s="325"/>
      <c r="E83" s="325"/>
      <c r="F83" s="325"/>
      <c r="G83" s="325"/>
      <c r="H83" s="325"/>
      <c r="I83" s="325"/>
      <c r="J83" s="325"/>
      <c r="K83" s="325"/>
      <c r="L83" s="325"/>
      <c r="M83" s="325"/>
      <c r="N83" s="326"/>
    </row>
    <row r="84" spans="1:101" x14ac:dyDescent="0.2">
      <c r="A84" s="103">
        <f>A82+1</f>
        <v>66</v>
      </c>
      <c r="B84" s="103"/>
      <c r="C84" s="163" t="s">
        <v>153</v>
      </c>
      <c r="D84" s="164"/>
      <c r="E84" s="106" t="s">
        <v>14</v>
      </c>
      <c r="F84" s="106"/>
      <c r="G84" s="107">
        <f>$H$16+1</f>
        <v>7</v>
      </c>
      <c r="H84" s="107">
        <f>I84+$H$16</f>
        <v>9</v>
      </c>
      <c r="I84" s="107">
        <v>3</v>
      </c>
      <c r="J84" s="107" t="s">
        <v>18</v>
      </c>
      <c r="K84" s="106"/>
      <c r="L84" s="107"/>
      <c r="M84" s="108"/>
      <c r="N84" s="158" t="s">
        <v>154</v>
      </c>
    </row>
    <row r="85" spans="1:101" ht="15" x14ac:dyDescent="0.2">
      <c r="A85" s="288">
        <f t="shared" si="0"/>
        <v>67</v>
      </c>
      <c r="B85" s="292"/>
      <c r="C85" s="293"/>
      <c r="D85" s="294" t="s">
        <v>28</v>
      </c>
      <c r="E85" s="289" t="s">
        <v>14</v>
      </c>
      <c r="F85" s="289"/>
      <c r="G85" s="290">
        <f>H84+1</f>
        <v>10</v>
      </c>
      <c r="H85" s="290">
        <v>600</v>
      </c>
      <c r="I85" s="290">
        <f>H85-H84</f>
        <v>591</v>
      </c>
      <c r="J85" s="290" t="s">
        <v>15</v>
      </c>
      <c r="K85" s="289"/>
      <c r="L85" s="290"/>
      <c r="M85" s="291"/>
      <c r="N85" s="295" t="s">
        <v>29</v>
      </c>
    </row>
    <row r="86" spans="1:101" x14ac:dyDescent="0.2">
      <c r="A86" s="103">
        <f>A85+1</f>
        <v>68</v>
      </c>
      <c r="B86" s="103"/>
      <c r="C86" s="163" t="s">
        <v>155</v>
      </c>
      <c r="D86" s="164"/>
      <c r="E86" s="106" t="s">
        <v>14</v>
      </c>
      <c r="F86" s="106"/>
      <c r="G86" s="107">
        <f>$H$16+1</f>
        <v>7</v>
      </c>
      <c r="H86" s="107">
        <f>I86+$H$16</f>
        <v>9</v>
      </c>
      <c r="I86" s="107">
        <v>3</v>
      </c>
      <c r="J86" s="107" t="s">
        <v>18</v>
      </c>
      <c r="K86" s="106"/>
      <c r="L86" s="107"/>
      <c r="M86" s="108"/>
      <c r="N86" s="158" t="s">
        <v>156</v>
      </c>
    </row>
    <row r="87" spans="1:101" ht="15" x14ac:dyDescent="0.2">
      <c r="A87" s="288">
        <f>A86+1</f>
        <v>69</v>
      </c>
      <c r="B87" s="292"/>
      <c r="C87" s="293"/>
      <c r="D87" s="294" t="s">
        <v>28</v>
      </c>
      <c r="E87" s="289" t="s">
        <v>14</v>
      </c>
      <c r="F87" s="289"/>
      <c r="G87" s="290">
        <f>H86+1</f>
        <v>10</v>
      </c>
      <c r="H87" s="290">
        <v>600</v>
      </c>
      <c r="I87" s="290">
        <f>H87-H86</f>
        <v>591</v>
      </c>
      <c r="J87" s="290" t="s">
        <v>15</v>
      </c>
      <c r="K87" s="289"/>
      <c r="L87" s="290"/>
      <c r="M87" s="291"/>
      <c r="N87" s="295" t="s">
        <v>29</v>
      </c>
    </row>
    <row r="88" spans="1:101" x14ac:dyDescent="0.2">
      <c r="A88" s="103"/>
      <c r="B88" s="103"/>
      <c r="C88" s="223" t="s">
        <v>157</v>
      </c>
      <c r="D88" s="223"/>
      <c r="E88" s="224"/>
      <c r="F88" s="224"/>
      <c r="G88" s="225"/>
      <c r="H88" s="226"/>
      <c r="I88" s="225"/>
      <c r="J88" s="225"/>
      <c r="K88" s="224"/>
      <c r="L88" s="225"/>
      <c r="M88" s="226"/>
      <c r="N88" s="226"/>
    </row>
    <row r="89" spans="1:101" x14ac:dyDescent="0.2">
      <c r="A89" s="324"/>
      <c r="B89" s="325"/>
      <c r="C89" s="325"/>
      <c r="D89" s="325"/>
      <c r="E89" s="325"/>
      <c r="F89" s="325"/>
      <c r="G89" s="325"/>
      <c r="H89" s="325"/>
      <c r="I89" s="325"/>
      <c r="J89" s="325"/>
      <c r="K89" s="325"/>
      <c r="L89" s="325"/>
      <c r="M89" s="325"/>
      <c r="N89" s="326"/>
    </row>
    <row r="90" spans="1:101" x14ac:dyDescent="0.2">
      <c r="A90" s="103">
        <f>A87+1</f>
        <v>70</v>
      </c>
      <c r="B90" s="103" t="s">
        <v>1799</v>
      </c>
      <c r="C90" s="163" t="s">
        <v>1797</v>
      </c>
      <c r="D90" s="164"/>
      <c r="E90" s="106" t="s">
        <v>14</v>
      </c>
      <c r="F90" s="106" t="s">
        <v>1750</v>
      </c>
      <c r="G90" s="107">
        <f>$H$16+1</f>
        <v>7</v>
      </c>
      <c r="H90" s="107">
        <f>I90+$H$16</f>
        <v>9</v>
      </c>
      <c r="I90" s="107">
        <v>3</v>
      </c>
      <c r="J90" s="107" t="s">
        <v>18</v>
      </c>
      <c r="K90" s="106" t="s">
        <v>1755</v>
      </c>
      <c r="L90" s="107"/>
      <c r="M90" s="108"/>
      <c r="N90" s="158" t="s">
        <v>159</v>
      </c>
    </row>
    <row r="91" spans="1:101" ht="15" x14ac:dyDescent="0.2">
      <c r="A91" s="103">
        <f t="shared" ref="A91:A129" si="16">A90+1</f>
        <v>71</v>
      </c>
      <c r="B91" s="256" t="s">
        <v>1800</v>
      </c>
      <c r="C91" s="104"/>
      <c r="D91" s="112" t="s">
        <v>1798</v>
      </c>
      <c r="E91" s="110">
        <v>31</v>
      </c>
      <c r="F91" s="110" t="s">
        <v>1799</v>
      </c>
      <c r="G91" s="107">
        <f>H90+1</f>
        <v>10</v>
      </c>
      <c r="H91" s="107">
        <f t="shared" ref="H91:H109" si="17">H90+I91</f>
        <v>23</v>
      </c>
      <c r="I91" s="111">
        <v>14</v>
      </c>
      <c r="J91" s="111" t="s">
        <v>15</v>
      </c>
      <c r="K91" s="124" t="s">
        <v>1755</v>
      </c>
      <c r="L91" s="107"/>
      <c r="M91" s="108"/>
      <c r="N91" s="31"/>
    </row>
    <row r="92" spans="1:101" ht="15" x14ac:dyDescent="0.2">
      <c r="A92" s="103">
        <f t="shared" si="16"/>
        <v>72</v>
      </c>
      <c r="B92" s="256" t="s">
        <v>1803</v>
      </c>
      <c r="C92" s="104"/>
      <c r="D92" s="112" t="s">
        <v>1802</v>
      </c>
      <c r="E92" s="110" t="s">
        <v>162</v>
      </c>
      <c r="F92" s="110" t="s">
        <v>1799</v>
      </c>
      <c r="G92" s="107">
        <f>H91+1</f>
        <v>24</v>
      </c>
      <c r="H92" s="107">
        <f t="shared" si="17"/>
        <v>34</v>
      </c>
      <c r="I92" s="111">
        <v>11</v>
      </c>
      <c r="J92" s="111" t="s">
        <v>15</v>
      </c>
      <c r="K92" s="124" t="s">
        <v>1755</v>
      </c>
      <c r="L92" s="107"/>
      <c r="M92" s="108"/>
      <c r="N92" s="31"/>
    </row>
    <row r="93" spans="1:101" ht="15" x14ac:dyDescent="0.2">
      <c r="A93" s="103">
        <f t="shared" si="16"/>
        <v>73</v>
      </c>
      <c r="B93" s="256" t="s">
        <v>1804</v>
      </c>
      <c r="C93" s="104"/>
      <c r="D93" s="112" t="s">
        <v>163</v>
      </c>
      <c r="E93" s="110">
        <v>32</v>
      </c>
      <c r="F93" s="110" t="s">
        <v>1799</v>
      </c>
      <c r="G93" s="107">
        <f t="shared" ref="G93:G108" si="18">H92+1</f>
        <v>35</v>
      </c>
      <c r="H93" s="107">
        <f t="shared" si="17"/>
        <v>94</v>
      </c>
      <c r="I93" s="111">
        <v>60</v>
      </c>
      <c r="J93" s="111" t="s">
        <v>15</v>
      </c>
      <c r="K93" s="124" t="s">
        <v>1755</v>
      </c>
      <c r="L93" s="107"/>
      <c r="M93" s="108"/>
      <c r="N93" s="31"/>
    </row>
    <row r="94" spans="1:101" ht="15" x14ac:dyDescent="0.2">
      <c r="A94" s="103">
        <f t="shared" si="16"/>
        <v>74</v>
      </c>
      <c r="B94" s="256" t="s">
        <v>1805</v>
      </c>
      <c r="C94" s="104"/>
      <c r="D94" s="112" t="s">
        <v>164</v>
      </c>
      <c r="E94" s="110">
        <v>33</v>
      </c>
      <c r="F94" s="110" t="s">
        <v>1799</v>
      </c>
      <c r="G94" s="107">
        <f t="shared" si="18"/>
        <v>95</v>
      </c>
      <c r="H94" s="107">
        <f t="shared" si="17"/>
        <v>154</v>
      </c>
      <c r="I94" s="111">
        <v>60</v>
      </c>
      <c r="J94" s="111" t="s">
        <v>15</v>
      </c>
      <c r="K94" s="124" t="s">
        <v>1769</v>
      </c>
      <c r="L94" s="107"/>
      <c r="M94" s="108"/>
      <c r="N94" s="31"/>
    </row>
    <row r="95" spans="1:101" ht="15" x14ac:dyDescent="0.2">
      <c r="A95" s="103">
        <f t="shared" si="16"/>
        <v>75</v>
      </c>
      <c r="B95" s="256" t="s">
        <v>1806</v>
      </c>
      <c r="C95" s="104"/>
      <c r="D95" s="112" t="s">
        <v>219</v>
      </c>
      <c r="E95" s="110">
        <v>35</v>
      </c>
      <c r="F95" s="110" t="s">
        <v>1807</v>
      </c>
      <c r="G95" s="107">
        <f t="shared" si="18"/>
        <v>155</v>
      </c>
      <c r="H95" s="107">
        <f t="shared" si="17"/>
        <v>214</v>
      </c>
      <c r="I95" s="111">
        <v>60</v>
      </c>
      <c r="J95" s="111" t="s">
        <v>15</v>
      </c>
      <c r="K95" s="124" t="s">
        <v>1755</v>
      </c>
      <c r="L95" s="107"/>
      <c r="M95" s="108"/>
      <c r="N95" s="31"/>
    </row>
    <row r="96" spans="1:101" ht="15" x14ac:dyDescent="0.2">
      <c r="A96" s="103">
        <f t="shared" si="16"/>
        <v>76</v>
      </c>
      <c r="B96" s="256" t="s">
        <v>1808</v>
      </c>
      <c r="C96" s="104"/>
      <c r="D96" s="112" t="s">
        <v>166</v>
      </c>
      <c r="E96" s="110">
        <v>36</v>
      </c>
      <c r="F96" s="110" t="s">
        <v>1807</v>
      </c>
      <c r="G96" s="107">
        <f t="shared" si="18"/>
        <v>215</v>
      </c>
      <c r="H96" s="107">
        <f t="shared" si="17"/>
        <v>274</v>
      </c>
      <c r="I96" s="111">
        <v>60</v>
      </c>
      <c r="J96" s="111" t="s">
        <v>15</v>
      </c>
      <c r="K96" s="124" t="s">
        <v>1755</v>
      </c>
      <c r="L96" s="107"/>
      <c r="M96" s="108"/>
      <c r="N96" s="31"/>
    </row>
    <row r="97" spans="1:14" ht="15" x14ac:dyDescent="0.2">
      <c r="A97" s="103">
        <f t="shared" si="16"/>
        <v>77</v>
      </c>
      <c r="B97" s="256" t="s">
        <v>1809</v>
      </c>
      <c r="C97" s="104"/>
      <c r="D97" s="112" t="s">
        <v>167</v>
      </c>
      <c r="E97" s="110">
        <v>37</v>
      </c>
      <c r="F97" s="110" t="s">
        <v>1807</v>
      </c>
      <c r="G97" s="107">
        <f t="shared" si="18"/>
        <v>275</v>
      </c>
      <c r="H97" s="107">
        <f t="shared" si="17"/>
        <v>334</v>
      </c>
      <c r="I97" s="111">
        <v>60</v>
      </c>
      <c r="J97" s="111" t="s">
        <v>15</v>
      </c>
      <c r="K97" s="124" t="s">
        <v>1769</v>
      </c>
      <c r="L97" s="107"/>
      <c r="M97" s="108"/>
      <c r="N97" s="31"/>
    </row>
    <row r="98" spans="1:14" ht="15" x14ac:dyDescent="0.2">
      <c r="A98" s="103">
        <f t="shared" si="16"/>
        <v>78</v>
      </c>
      <c r="B98" s="256" t="s">
        <v>1810</v>
      </c>
      <c r="C98" s="104"/>
      <c r="D98" s="112" t="s">
        <v>168</v>
      </c>
      <c r="E98" s="110">
        <v>38</v>
      </c>
      <c r="F98" s="110" t="s">
        <v>1807</v>
      </c>
      <c r="G98" s="107">
        <f t="shared" si="18"/>
        <v>335</v>
      </c>
      <c r="H98" s="107">
        <f t="shared" si="17"/>
        <v>394</v>
      </c>
      <c r="I98" s="111">
        <v>60</v>
      </c>
      <c r="J98" s="111" t="s">
        <v>15</v>
      </c>
      <c r="K98" s="124" t="s">
        <v>1755</v>
      </c>
      <c r="L98" s="107"/>
      <c r="M98" s="108"/>
      <c r="N98" s="31"/>
    </row>
    <row r="99" spans="1:14" ht="15" x14ac:dyDescent="0.2">
      <c r="A99" s="103">
        <f t="shared" si="16"/>
        <v>79</v>
      </c>
      <c r="B99" s="256" t="s">
        <v>1811</v>
      </c>
      <c r="C99" s="104"/>
      <c r="D99" s="112" t="s">
        <v>1812</v>
      </c>
      <c r="E99" s="110">
        <v>39</v>
      </c>
      <c r="F99" s="110" t="s">
        <v>1807</v>
      </c>
      <c r="G99" s="107">
        <f t="shared" si="18"/>
        <v>395</v>
      </c>
      <c r="H99" s="107">
        <f t="shared" si="17"/>
        <v>401</v>
      </c>
      <c r="I99" s="111">
        <v>7</v>
      </c>
      <c r="J99" s="111" t="s">
        <v>18</v>
      </c>
      <c r="K99" s="124" t="s">
        <v>1755</v>
      </c>
      <c r="L99" s="107"/>
      <c r="M99" s="108"/>
      <c r="N99" s="31" t="s">
        <v>169</v>
      </c>
    </row>
    <row r="100" spans="1:14" ht="15" x14ac:dyDescent="0.2">
      <c r="A100" s="103">
        <f t="shared" si="16"/>
        <v>80</v>
      </c>
      <c r="B100" s="256" t="s">
        <v>1813</v>
      </c>
      <c r="C100" s="104"/>
      <c r="D100" s="112" t="s">
        <v>170</v>
      </c>
      <c r="E100" s="110">
        <v>40</v>
      </c>
      <c r="F100" s="110" t="s">
        <v>1807</v>
      </c>
      <c r="G100" s="107">
        <f t="shared" si="18"/>
        <v>402</v>
      </c>
      <c r="H100" s="107">
        <f t="shared" si="17"/>
        <v>461</v>
      </c>
      <c r="I100" s="111">
        <v>60</v>
      </c>
      <c r="J100" s="111" t="s">
        <v>15</v>
      </c>
      <c r="K100" s="124" t="s">
        <v>1755</v>
      </c>
      <c r="L100" s="107"/>
      <c r="M100" s="108"/>
      <c r="N100" s="31" t="s">
        <v>171</v>
      </c>
    </row>
    <row r="101" spans="1:14" ht="15" x14ac:dyDescent="0.2">
      <c r="A101" s="103">
        <f t="shared" si="16"/>
        <v>81</v>
      </c>
      <c r="B101" s="256" t="s">
        <v>1814</v>
      </c>
      <c r="C101" s="104"/>
      <c r="D101" s="112" t="s">
        <v>172</v>
      </c>
      <c r="E101" s="110">
        <v>41</v>
      </c>
      <c r="F101" s="110" t="s">
        <v>1807</v>
      </c>
      <c r="G101" s="107">
        <f t="shared" si="18"/>
        <v>462</v>
      </c>
      <c r="H101" s="107">
        <f t="shared" si="17"/>
        <v>463</v>
      </c>
      <c r="I101" s="111">
        <v>2</v>
      </c>
      <c r="J101" s="111" t="s">
        <v>15</v>
      </c>
      <c r="K101" s="124" t="s">
        <v>1755</v>
      </c>
      <c r="L101" s="107"/>
      <c r="M101" s="108"/>
      <c r="N101" s="31" t="s">
        <v>173</v>
      </c>
    </row>
    <row r="102" spans="1:14" ht="15" x14ac:dyDescent="0.2">
      <c r="A102" s="103">
        <f t="shared" si="16"/>
        <v>82</v>
      </c>
      <c r="B102" s="256" t="s">
        <v>1815</v>
      </c>
      <c r="C102" s="104"/>
      <c r="D102" s="112" t="s">
        <v>174</v>
      </c>
      <c r="E102" s="110">
        <v>42</v>
      </c>
      <c r="F102" s="110" t="s">
        <v>1807</v>
      </c>
      <c r="G102" s="107">
        <f t="shared" si="18"/>
        <v>464</v>
      </c>
      <c r="H102" s="107">
        <f t="shared" si="17"/>
        <v>471</v>
      </c>
      <c r="I102" s="111">
        <v>8</v>
      </c>
      <c r="J102" s="111" t="s">
        <v>18</v>
      </c>
      <c r="K102" s="124" t="s">
        <v>1755</v>
      </c>
      <c r="L102" s="107"/>
      <c r="M102" s="108"/>
      <c r="N102" s="31" t="s">
        <v>175</v>
      </c>
    </row>
    <row r="103" spans="1:14" ht="15" x14ac:dyDescent="0.2">
      <c r="A103" s="103">
        <f t="shared" si="16"/>
        <v>83</v>
      </c>
      <c r="B103" s="256" t="s">
        <v>1816</v>
      </c>
      <c r="C103" s="104"/>
      <c r="D103" s="112" t="s">
        <v>176</v>
      </c>
      <c r="E103" s="110">
        <v>43</v>
      </c>
      <c r="F103" s="110" t="s">
        <v>1807</v>
      </c>
      <c r="G103" s="107">
        <f t="shared" si="18"/>
        <v>472</v>
      </c>
      <c r="H103" s="107">
        <f t="shared" si="17"/>
        <v>475</v>
      </c>
      <c r="I103" s="111">
        <v>4</v>
      </c>
      <c r="J103" s="111" t="s">
        <v>18</v>
      </c>
      <c r="K103" s="124" t="s">
        <v>1769</v>
      </c>
      <c r="L103" s="107"/>
      <c r="M103" s="108"/>
      <c r="N103" s="31"/>
    </row>
    <row r="104" spans="1:14" ht="15" x14ac:dyDescent="0.2">
      <c r="A104" s="103">
        <f t="shared" si="16"/>
        <v>84</v>
      </c>
      <c r="B104" s="256" t="s">
        <v>1817</v>
      </c>
      <c r="C104" s="104"/>
      <c r="D104" s="112" t="s">
        <v>177</v>
      </c>
      <c r="E104" s="110">
        <v>44</v>
      </c>
      <c r="F104" s="110" t="s">
        <v>1807</v>
      </c>
      <c r="G104" s="107">
        <f t="shared" si="18"/>
        <v>476</v>
      </c>
      <c r="H104" s="107">
        <f t="shared" si="17"/>
        <v>535</v>
      </c>
      <c r="I104" s="111">
        <v>60</v>
      </c>
      <c r="J104" s="111" t="s">
        <v>15</v>
      </c>
      <c r="K104" s="124" t="s">
        <v>1769</v>
      </c>
      <c r="L104" s="107"/>
      <c r="M104" s="108"/>
      <c r="N104" s="31"/>
    </row>
    <row r="105" spans="1:14" ht="51" x14ac:dyDescent="0.2">
      <c r="A105" s="103">
        <f t="shared" si="16"/>
        <v>85</v>
      </c>
      <c r="B105" s="256" t="s">
        <v>1818</v>
      </c>
      <c r="C105" s="104"/>
      <c r="D105" s="112" t="s">
        <v>178</v>
      </c>
      <c r="E105" s="110">
        <v>45</v>
      </c>
      <c r="F105" s="110" t="s">
        <v>1807</v>
      </c>
      <c r="G105" s="107">
        <f t="shared" si="18"/>
        <v>536</v>
      </c>
      <c r="H105" s="107">
        <f t="shared" si="17"/>
        <v>549</v>
      </c>
      <c r="I105" s="111">
        <v>14</v>
      </c>
      <c r="J105" s="111" t="s">
        <v>18</v>
      </c>
      <c r="K105" s="124" t="s">
        <v>1769</v>
      </c>
      <c r="L105" s="107"/>
      <c r="M105" s="108"/>
      <c r="N105" s="109" t="s">
        <v>179</v>
      </c>
    </row>
    <row r="106" spans="1:14" ht="51" x14ac:dyDescent="0.2">
      <c r="A106" s="103">
        <f t="shared" si="16"/>
        <v>86</v>
      </c>
      <c r="B106" s="256" t="s">
        <v>1819</v>
      </c>
      <c r="C106" s="104"/>
      <c r="D106" s="112" t="s">
        <v>180</v>
      </c>
      <c r="E106" s="110">
        <v>46</v>
      </c>
      <c r="F106" s="110" t="s">
        <v>1799</v>
      </c>
      <c r="G106" s="107">
        <f t="shared" si="18"/>
        <v>550</v>
      </c>
      <c r="H106" s="107">
        <f t="shared" si="17"/>
        <v>563</v>
      </c>
      <c r="I106" s="111">
        <v>14</v>
      </c>
      <c r="J106" s="111" t="s">
        <v>15</v>
      </c>
      <c r="K106" s="124" t="s">
        <v>1755</v>
      </c>
      <c r="L106" s="107"/>
      <c r="M106" s="108"/>
      <c r="N106" s="109" t="s">
        <v>181</v>
      </c>
    </row>
    <row r="107" spans="1:14" ht="15" x14ac:dyDescent="0.2">
      <c r="A107" s="103">
        <f t="shared" si="16"/>
        <v>87</v>
      </c>
      <c r="B107" s="256" t="s">
        <v>1820</v>
      </c>
      <c r="C107" s="104"/>
      <c r="D107" s="112" t="s">
        <v>182</v>
      </c>
      <c r="E107" s="110">
        <v>47</v>
      </c>
      <c r="F107" s="110" t="s">
        <v>1799</v>
      </c>
      <c r="G107" s="107">
        <f t="shared" si="18"/>
        <v>564</v>
      </c>
      <c r="H107" s="107">
        <f t="shared" si="17"/>
        <v>577</v>
      </c>
      <c r="I107" s="111">
        <v>14</v>
      </c>
      <c r="J107" s="111" t="s">
        <v>15</v>
      </c>
      <c r="K107" s="124" t="s">
        <v>1769</v>
      </c>
      <c r="L107" s="107"/>
      <c r="M107" s="108"/>
      <c r="N107" s="109" t="s">
        <v>183</v>
      </c>
    </row>
    <row r="108" spans="1:14" ht="25.5" x14ac:dyDescent="0.2">
      <c r="A108" s="103">
        <f t="shared" si="16"/>
        <v>88</v>
      </c>
      <c r="B108" s="256" t="s">
        <v>1821</v>
      </c>
      <c r="C108" s="104"/>
      <c r="D108" s="112" t="s">
        <v>1822</v>
      </c>
      <c r="E108" s="110">
        <v>48</v>
      </c>
      <c r="F108" s="110" t="s">
        <v>1825</v>
      </c>
      <c r="G108" s="107">
        <f t="shared" si="18"/>
        <v>578</v>
      </c>
      <c r="H108" s="107">
        <f t="shared" si="17"/>
        <v>592</v>
      </c>
      <c r="I108" s="111">
        <v>15</v>
      </c>
      <c r="J108" s="111" t="s">
        <v>15</v>
      </c>
      <c r="K108" s="124" t="s">
        <v>1755</v>
      </c>
      <c r="L108" s="107"/>
      <c r="M108" s="108"/>
      <c r="N108" s="109" t="s">
        <v>185</v>
      </c>
    </row>
    <row r="109" spans="1:14" ht="15" x14ac:dyDescent="0.2">
      <c r="A109" s="103">
        <f t="shared" si="16"/>
        <v>89</v>
      </c>
      <c r="B109" s="256" t="s">
        <v>1823</v>
      </c>
      <c r="C109" s="104"/>
      <c r="D109" s="112" t="s">
        <v>186</v>
      </c>
      <c r="E109" s="110">
        <v>49</v>
      </c>
      <c r="F109" s="110" t="s">
        <v>1825</v>
      </c>
      <c r="G109" s="107">
        <f>H108+1</f>
        <v>593</v>
      </c>
      <c r="H109" s="107">
        <f t="shared" si="17"/>
        <v>599</v>
      </c>
      <c r="I109" s="111">
        <v>7</v>
      </c>
      <c r="J109" s="111" t="s">
        <v>15</v>
      </c>
      <c r="K109" s="124" t="s">
        <v>1769</v>
      </c>
      <c r="L109" s="107"/>
      <c r="M109" s="108"/>
      <c r="N109" s="109" t="s">
        <v>187</v>
      </c>
    </row>
    <row r="110" spans="1:14" ht="51" x14ac:dyDescent="0.2">
      <c r="A110" s="103">
        <f t="shared" si="16"/>
        <v>90</v>
      </c>
      <c r="B110" s="256" t="s">
        <v>1824</v>
      </c>
      <c r="C110" s="104"/>
      <c r="D110" s="112" t="s">
        <v>188</v>
      </c>
      <c r="E110" s="110" t="s">
        <v>189</v>
      </c>
      <c r="F110" s="110" t="s">
        <v>1799</v>
      </c>
      <c r="G110" s="107">
        <f>H109+1</f>
        <v>600</v>
      </c>
      <c r="H110" s="107">
        <f>H109+I110</f>
        <v>600</v>
      </c>
      <c r="I110" s="111">
        <v>1</v>
      </c>
      <c r="J110" s="111" t="s">
        <v>18</v>
      </c>
      <c r="K110" s="124" t="s">
        <v>1755</v>
      </c>
      <c r="L110" s="107"/>
      <c r="M110" s="108"/>
      <c r="N110" s="109" t="s">
        <v>190</v>
      </c>
    </row>
    <row r="111" spans="1:14" ht="14.45" customHeight="1" x14ac:dyDescent="0.2">
      <c r="A111" s="324"/>
      <c r="B111" s="325"/>
      <c r="C111" s="325"/>
      <c r="D111" s="325"/>
      <c r="E111" s="325"/>
      <c r="F111" s="325"/>
      <c r="G111" s="325"/>
      <c r="H111" s="325"/>
      <c r="I111" s="325"/>
      <c r="J111" s="325"/>
      <c r="K111" s="325"/>
      <c r="L111" s="325"/>
      <c r="M111" s="325"/>
      <c r="N111" s="326"/>
    </row>
    <row r="112" spans="1:14" x14ac:dyDescent="0.2">
      <c r="A112" s="103">
        <f>A110+1</f>
        <v>91</v>
      </c>
      <c r="B112" s="103"/>
      <c r="C112" s="163" t="s">
        <v>1826</v>
      </c>
      <c r="D112" s="164"/>
      <c r="E112" s="106" t="s">
        <v>14</v>
      </c>
      <c r="F112" s="106"/>
      <c r="G112" s="107">
        <f>$H$16+1</f>
        <v>7</v>
      </c>
      <c r="H112" s="107">
        <f>I112+$H$16</f>
        <v>9</v>
      </c>
      <c r="I112" s="107">
        <v>3</v>
      </c>
      <c r="J112" s="107" t="s">
        <v>18</v>
      </c>
      <c r="K112" s="106"/>
      <c r="L112" s="107"/>
      <c r="M112" s="108"/>
      <c r="N112" s="158" t="s">
        <v>192</v>
      </c>
    </row>
    <row r="113" spans="1:14" ht="25.5" x14ac:dyDescent="0.2">
      <c r="A113" s="103">
        <f t="shared" si="16"/>
        <v>92</v>
      </c>
      <c r="B113" s="256"/>
      <c r="C113" s="104"/>
      <c r="D113" s="112" t="s">
        <v>193</v>
      </c>
      <c r="E113" s="110">
        <v>63</v>
      </c>
      <c r="F113" s="110"/>
      <c r="G113" s="107">
        <f t="shared" ref="G113:G128" si="19">H112+1</f>
        <v>10</v>
      </c>
      <c r="H113" s="107">
        <f t="shared" ref="H113:H128" si="20">H112+I113</f>
        <v>23</v>
      </c>
      <c r="I113" s="111">
        <v>14</v>
      </c>
      <c r="J113" s="111" t="s">
        <v>15</v>
      </c>
      <c r="K113" s="124"/>
      <c r="L113" s="107"/>
      <c r="M113" s="108"/>
      <c r="N113" s="109" t="s">
        <v>194</v>
      </c>
    </row>
    <row r="114" spans="1:14" ht="25.5" x14ac:dyDescent="0.2">
      <c r="A114" s="103">
        <f t="shared" si="16"/>
        <v>93</v>
      </c>
      <c r="B114" s="256"/>
      <c r="C114" s="104"/>
      <c r="D114" s="112" t="s">
        <v>195</v>
      </c>
      <c r="E114" s="110">
        <v>64</v>
      </c>
      <c r="F114" s="110"/>
      <c r="G114" s="107">
        <f t="shared" si="19"/>
        <v>24</v>
      </c>
      <c r="H114" s="107">
        <f t="shared" si="20"/>
        <v>34</v>
      </c>
      <c r="I114" s="111">
        <v>11</v>
      </c>
      <c r="J114" s="111" t="s">
        <v>15</v>
      </c>
      <c r="K114" s="124"/>
      <c r="L114" s="107"/>
      <c r="M114" s="108"/>
      <c r="N114" s="109" t="s">
        <v>196</v>
      </c>
    </row>
    <row r="115" spans="1:14" ht="15" x14ac:dyDescent="0.2">
      <c r="A115" s="103">
        <f t="shared" si="16"/>
        <v>94</v>
      </c>
      <c r="B115" s="256"/>
      <c r="C115" s="104"/>
      <c r="D115" s="112" t="s">
        <v>197</v>
      </c>
      <c r="E115" s="110">
        <v>65</v>
      </c>
      <c r="F115" s="110"/>
      <c r="G115" s="107">
        <f t="shared" si="19"/>
        <v>35</v>
      </c>
      <c r="H115" s="107">
        <f t="shared" si="20"/>
        <v>94</v>
      </c>
      <c r="I115" s="111">
        <v>60</v>
      </c>
      <c r="J115" s="111" t="s">
        <v>15</v>
      </c>
      <c r="K115" s="124"/>
      <c r="L115" s="107"/>
      <c r="M115" s="108"/>
      <c r="N115" s="207" t="s">
        <v>198</v>
      </c>
    </row>
    <row r="116" spans="1:14" ht="15" x14ac:dyDescent="0.2">
      <c r="A116" s="103">
        <f t="shared" si="16"/>
        <v>95</v>
      </c>
      <c r="B116" s="256"/>
      <c r="C116" s="104"/>
      <c r="D116" s="112" t="s">
        <v>199</v>
      </c>
      <c r="E116" s="110">
        <v>67</v>
      </c>
      <c r="F116" s="110"/>
      <c r="G116" s="107">
        <f t="shared" si="19"/>
        <v>95</v>
      </c>
      <c r="H116" s="107">
        <f t="shared" si="20"/>
        <v>154</v>
      </c>
      <c r="I116" s="111">
        <v>60</v>
      </c>
      <c r="J116" s="111" t="s">
        <v>15</v>
      </c>
      <c r="K116" s="124"/>
      <c r="L116" s="107"/>
      <c r="M116" s="108"/>
      <c r="N116" s="109"/>
    </row>
    <row r="117" spans="1:14" ht="15" x14ac:dyDescent="0.2">
      <c r="A117" s="103">
        <f t="shared" si="16"/>
        <v>96</v>
      </c>
      <c r="B117" s="256"/>
      <c r="C117" s="104"/>
      <c r="D117" s="112" t="s">
        <v>166</v>
      </c>
      <c r="E117" s="110">
        <v>68</v>
      </c>
      <c r="F117" s="110"/>
      <c r="G117" s="107">
        <f t="shared" si="19"/>
        <v>155</v>
      </c>
      <c r="H117" s="107">
        <f t="shared" si="20"/>
        <v>214</v>
      </c>
      <c r="I117" s="111">
        <v>60</v>
      </c>
      <c r="J117" s="111" t="s">
        <v>15</v>
      </c>
      <c r="K117" s="124"/>
      <c r="L117" s="107"/>
      <c r="M117" s="108"/>
      <c r="N117" s="109"/>
    </row>
    <row r="118" spans="1:14" ht="15" x14ac:dyDescent="0.2">
      <c r="A118" s="103">
        <f t="shared" si="16"/>
        <v>97</v>
      </c>
      <c r="B118" s="256"/>
      <c r="C118" s="104"/>
      <c r="D118" s="112" t="s">
        <v>167</v>
      </c>
      <c r="E118" s="110">
        <v>69</v>
      </c>
      <c r="F118" s="110"/>
      <c r="G118" s="107">
        <f t="shared" si="19"/>
        <v>215</v>
      </c>
      <c r="H118" s="107">
        <f t="shared" si="20"/>
        <v>274</v>
      </c>
      <c r="I118" s="111">
        <v>60</v>
      </c>
      <c r="J118" s="111" t="s">
        <v>15</v>
      </c>
      <c r="K118" s="124"/>
      <c r="L118" s="107"/>
      <c r="M118" s="108"/>
      <c r="N118" s="109"/>
    </row>
    <row r="119" spans="1:14" ht="15" x14ac:dyDescent="0.2">
      <c r="A119" s="103">
        <f t="shared" si="16"/>
        <v>98</v>
      </c>
      <c r="B119" s="256"/>
      <c r="C119" s="104"/>
      <c r="D119" s="112" t="s">
        <v>168</v>
      </c>
      <c r="E119" s="110">
        <v>70</v>
      </c>
      <c r="F119" s="110"/>
      <c r="G119" s="107">
        <f t="shared" si="19"/>
        <v>275</v>
      </c>
      <c r="H119" s="107">
        <f t="shared" si="20"/>
        <v>334</v>
      </c>
      <c r="I119" s="111">
        <v>60</v>
      </c>
      <c r="J119" s="111" t="s">
        <v>15</v>
      </c>
      <c r="K119" s="124"/>
      <c r="L119" s="107"/>
      <c r="M119" s="108"/>
      <c r="N119" s="109"/>
    </row>
    <row r="120" spans="1:14" ht="15" x14ac:dyDescent="0.2">
      <c r="A120" s="103">
        <f t="shared" si="16"/>
        <v>99</v>
      </c>
      <c r="B120" s="256"/>
      <c r="C120" s="104"/>
      <c r="D120" s="112" t="s">
        <v>200</v>
      </c>
      <c r="E120" s="110">
        <v>71</v>
      </c>
      <c r="F120" s="110"/>
      <c r="G120" s="107">
        <f t="shared" si="19"/>
        <v>335</v>
      </c>
      <c r="H120" s="107">
        <f t="shared" si="20"/>
        <v>341</v>
      </c>
      <c r="I120" s="111">
        <v>7</v>
      </c>
      <c r="J120" s="111" t="s">
        <v>18</v>
      </c>
      <c r="K120" s="124"/>
      <c r="L120" s="107"/>
      <c r="M120" s="108"/>
      <c r="N120" s="109" t="s">
        <v>169</v>
      </c>
    </row>
    <row r="121" spans="1:14" ht="15" x14ac:dyDescent="0.2">
      <c r="A121" s="103">
        <f t="shared" si="16"/>
        <v>100</v>
      </c>
      <c r="B121" s="256"/>
      <c r="C121" s="104"/>
      <c r="D121" s="112" t="s">
        <v>170</v>
      </c>
      <c r="E121" s="110">
        <v>72</v>
      </c>
      <c r="F121" s="110"/>
      <c r="G121" s="107">
        <f t="shared" si="19"/>
        <v>342</v>
      </c>
      <c r="H121" s="107">
        <f t="shared" si="20"/>
        <v>401</v>
      </c>
      <c r="I121" s="111">
        <v>60</v>
      </c>
      <c r="J121" s="111" t="s">
        <v>15</v>
      </c>
      <c r="K121" s="124"/>
      <c r="L121" s="107"/>
      <c r="M121" s="108"/>
      <c r="N121" s="109" t="s">
        <v>171</v>
      </c>
    </row>
    <row r="122" spans="1:14" ht="15" x14ac:dyDescent="0.2">
      <c r="A122" s="103">
        <f t="shared" si="16"/>
        <v>101</v>
      </c>
      <c r="B122" s="256"/>
      <c r="C122" s="104"/>
      <c r="D122" s="112" t="s">
        <v>172</v>
      </c>
      <c r="E122" s="110">
        <v>73</v>
      </c>
      <c r="F122" s="110"/>
      <c r="G122" s="107">
        <f t="shared" si="19"/>
        <v>402</v>
      </c>
      <c r="H122" s="107">
        <f t="shared" si="20"/>
        <v>403</v>
      </c>
      <c r="I122" s="111">
        <v>2</v>
      </c>
      <c r="J122" s="111" t="s">
        <v>15</v>
      </c>
      <c r="K122" s="124"/>
      <c r="L122" s="107"/>
      <c r="M122" s="108"/>
      <c r="N122" s="109" t="s">
        <v>173</v>
      </c>
    </row>
    <row r="123" spans="1:14" ht="15" x14ac:dyDescent="0.2">
      <c r="A123" s="103">
        <f t="shared" si="16"/>
        <v>102</v>
      </c>
      <c r="B123" s="256"/>
      <c r="C123" s="104"/>
      <c r="D123" s="112" t="s">
        <v>174</v>
      </c>
      <c r="E123" s="110">
        <v>74</v>
      </c>
      <c r="F123" s="110"/>
      <c r="G123" s="107">
        <f t="shared" si="19"/>
        <v>404</v>
      </c>
      <c r="H123" s="107">
        <f t="shared" si="20"/>
        <v>411</v>
      </c>
      <c r="I123" s="111">
        <v>8</v>
      </c>
      <c r="J123" s="111" t="s">
        <v>18</v>
      </c>
      <c r="K123" s="124"/>
      <c r="L123" s="107"/>
      <c r="M123" s="108"/>
      <c r="N123" s="109" t="s">
        <v>175</v>
      </c>
    </row>
    <row r="124" spans="1:14" ht="15" x14ac:dyDescent="0.2">
      <c r="A124" s="103">
        <f t="shared" si="16"/>
        <v>103</v>
      </c>
      <c r="B124" s="256"/>
      <c r="C124" s="104"/>
      <c r="D124" s="112" t="s">
        <v>176</v>
      </c>
      <c r="E124" s="110">
        <v>75</v>
      </c>
      <c r="F124" s="110"/>
      <c r="G124" s="107">
        <f t="shared" si="19"/>
        <v>412</v>
      </c>
      <c r="H124" s="107">
        <f t="shared" si="20"/>
        <v>415</v>
      </c>
      <c r="I124" s="111">
        <v>4</v>
      </c>
      <c r="J124" s="111" t="s">
        <v>18</v>
      </c>
      <c r="K124" s="124"/>
      <c r="L124" s="107"/>
      <c r="M124" s="108"/>
      <c r="N124" s="109" t="s">
        <v>201</v>
      </c>
    </row>
    <row r="125" spans="1:14" ht="15" x14ac:dyDescent="0.2">
      <c r="A125" s="103">
        <f t="shared" si="16"/>
        <v>104</v>
      </c>
      <c r="B125" s="256"/>
      <c r="C125" s="104"/>
      <c r="D125" s="112" t="s">
        <v>177</v>
      </c>
      <c r="E125" s="110">
        <v>76</v>
      </c>
      <c r="F125" s="110"/>
      <c r="G125" s="107">
        <f t="shared" si="19"/>
        <v>416</v>
      </c>
      <c r="H125" s="107">
        <f t="shared" si="20"/>
        <v>475</v>
      </c>
      <c r="I125" s="111">
        <v>60</v>
      </c>
      <c r="J125" s="111" t="s">
        <v>15</v>
      </c>
      <c r="K125" s="124"/>
      <c r="L125" s="107"/>
      <c r="M125" s="108"/>
      <c r="N125" s="109" t="s">
        <v>202</v>
      </c>
    </row>
    <row r="126" spans="1:14" ht="51" x14ac:dyDescent="0.2">
      <c r="A126" s="103">
        <f t="shared" si="16"/>
        <v>105</v>
      </c>
      <c r="B126" s="256"/>
      <c r="C126" s="104"/>
      <c r="D126" s="112" t="s">
        <v>178</v>
      </c>
      <c r="E126" s="110">
        <v>77</v>
      </c>
      <c r="F126" s="110"/>
      <c r="G126" s="107">
        <f t="shared" si="19"/>
        <v>476</v>
      </c>
      <c r="H126" s="107">
        <f t="shared" si="20"/>
        <v>489</v>
      </c>
      <c r="I126" s="111">
        <v>14</v>
      </c>
      <c r="J126" s="111" t="s">
        <v>18</v>
      </c>
      <c r="K126" s="124"/>
      <c r="L126" s="107"/>
      <c r="M126" s="108"/>
      <c r="N126" s="109" t="s">
        <v>179</v>
      </c>
    </row>
    <row r="127" spans="1:14" ht="25.5" x14ac:dyDescent="0.2">
      <c r="A127" s="103">
        <f t="shared" si="16"/>
        <v>106</v>
      </c>
      <c r="B127" s="256"/>
      <c r="C127" s="104"/>
      <c r="D127" s="112" t="s">
        <v>180</v>
      </c>
      <c r="E127" s="110">
        <v>78</v>
      </c>
      <c r="F127" s="110"/>
      <c r="G127" s="107">
        <f t="shared" si="19"/>
        <v>490</v>
      </c>
      <c r="H127" s="107">
        <f t="shared" si="20"/>
        <v>503</v>
      </c>
      <c r="I127" s="111">
        <v>14</v>
      </c>
      <c r="J127" s="111" t="s">
        <v>15</v>
      </c>
      <c r="K127" s="124"/>
      <c r="L127" s="107"/>
      <c r="M127" s="108"/>
      <c r="N127" s="109" t="s">
        <v>203</v>
      </c>
    </row>
    <row r="128" spans="1:14" ht="38.25" x14ac:dyDescent="0.2">
      <c r="A128" s="103">
        <f t="shared" si="16"/>
        <v>107</v>
      </c>
      <c r="B128" s="256"/>
      <c r="C128" s="104"/>
      <c r="D128" s="112" t="s">
        <v>204</v>
      </c>
      <c r="E128" s="110">
        <v>79</v>
      </c>
      <c r="F128" s="110"/>
      <c r="G128" s="107">
        <f t="shared" si="19"/>
        <v>504</v>
      </c>
      <c r="H128" s="107">
        <f t="shared" si="20"/>
        <v>512</v>
      </c>
      <c r="I128" s="111">
        <v>9</v>
      </c>
      <c r="J128" s="111" t="s">
        <v>15</v>
      </c>
      <c r="K128" s="124"/>
      <c r="L128" s="107"/>
      <c r="M128" s="108"/>
      <c r="N128" s="109" t="s">
        <v>205</v>
      </c>
    </row>
    <row r="129" spans="1:14" ht="25.5" x14ac:dyDescent="0.2">
      <c r="A129" s="103">
        <f t="shared" si="16"/>
        <v>108</v>
      </c>
      <c r="B129" s="256"/>
      <c r="C129" s="104"/>
      <c r="D129" s="112" t="s">
        <v>206</v>
      </c>
      <c r="E129" s="110" t="s">
        <v>207</v>
      </c>
      <c r="F129" s="110"/>
      <c r="G129" s="107">
        <f>H128+1</f>
        <v>513</v>
      </c>
      <c r="H129" s="107">
        <f>H128+I129</f>
        <v>572</v>
      </c>
      <c r="I129" s="111">
        <v>60</v>
      </c>
      <c r="J129" s="111" t="s">
        <v>15</v>
      </c>
      <c r="K129" s="124"/>
      <c r="L129" s="107"/>
      <c r="M129" s="108"/>
      <c r="N129" s="109" t="s">
        <v>208</v>
      </c>
    </row>
    <row r="130" spans="1:14" s="117" customFormat="1" ht="63.75" x14ac:dyDescent="0.2">
      <c r="A130" s="103">
        <v>106</v>
      </c>
      <c r="B130" s="256"/>
      <c r="C130" s="104"/>
      <c r="D130" s="112" t="s">
        <v>209</v>
      </c>
      <c r="E130" s="110" t="s">
        <v>210</v>
      </c>
      <c r="F130" s="110"/>
      <c r="G130" s="107">
        <v>573</v>
      </c>
      <c r="H130" s="107">
        <v>592</v>
      </c>
      <c r="I130" s="111">
        <v>20</v>
      </c>
      <c r="J130" s="111" t="s">
        <v>15</v>
      </c>
      <c r="K130" s="124"/>
      <c r="L130" s="107"/>
      <c r="M130" s="108"/>
      <c r="N130" s="109" t="s">
        <v>211</v>
      </c>
    </row>
    <row r="131" spans="1:14" s="117" customFormat="1" ht="89.25" x14ac:dyDescent="0.2">
      <c r="A131" s="103">
        <v>107</v>
      </c>
      <c r="B131" s="256"/>
      <c r="C131" s="104"/>
      <c r="D131" s="112" t="s">
        <v>212</v>
      </c>
      <c r="E131" s="110" t="s">
        <v>213</v>
      </c>
      <c r="F131" s="110"/>
      <c r="G131" s="107">
        <v>593</v>
      </c>
      <c r="H131" s="107">
        <v>593</v>
      </c>
      <c r="I131" s="111">
        <v>1</v>
      </c>
      <c r="J131" s="111"/>
      <c r="K131" s="124"/>
      <c r="L131" s="107"/>
      <c r="M131" s="108"/>
      <c r="N131" s="109" t="s">
        <v>214</v>
      </c>
    </row>
    <row r="132" spans="1:14" ht="15" x14ac:dyDescent="0.2">
      <c r="A132" s="288">
        <v>108</v>
      </c>
      <c r="B132" s="292"/>
      <c r="C132" s="293"/>
      <c r="D132" s="294" t="s">
        <v>28</v>
      </c>
      <c r="E132" s="289" t="s">
        <v>14</v>
      </c>
      <c r="F132" s="289"/>
      <c r="G132" s="290">
        <v>594</v>
      </c>
      <c r="H132" s="290">
        <v>600</v>
      </c>
      <c r="I132" s="290">
        <v>7</v>
      </c>
      <c r="J132" s="290" t="s">
        <v>15</v>
      </c>
      <c r="K132" s="289"/>
      <c r="L132" s="290"/>
      <c r="M132" s="291"/>
      <c r="N132" s="295" t="s">
        <v>29</v>
      </c>
    </row>
    <row r="133" spans="1:14" ht="14.45" customHeight="1" x14ac:dyDescent="0.2">
      <c r="A133" s="324"/>
      <c r="B133" s="325"/>
      <c r="C133" s="325"/>
      <c r="D133" s="325"/>
      <c r="E133" s="325"/>
      <c r="F133" s="325"/>
      <c r="G133" s="325"/>
      <c r="H133" s="325"/>
      <c r="I133" s="325"/>
      <c r="J133" s="325"/>
      <c r="K133" s="325"/>
      <c r="L133" s="325"/>
      <c r="M133" s="325"/>
      <c r="N133" s="326"/>
    </row>
    <row r="134" spans="1:14" x14ac:dyDescent="0.2">
      <c r="A134" s="103">
        <v>109</v>
      </c>
      <c r="B134" s="103"/>
      <c r="C134" s="163" t="s">
        <v>215</v>
      </c>
      <c r="D134" s="164"/>
      <c r="E134" s="106" t="s">
        <v>14</v>
      </c>
      <c r="F134" s="106"/>
      <c r="G134" s="107">
        <f>$H$16+1</f>
        <v>7</v>
      </c>
      <c r="H134" s="107">
        <f>I134+$H$16</f>
        <v>9</v>
      </c>
      <c r="I134" s="107">
        <v>3</v>
      </c>
      <c r="J134" s="107" t="s">
        <v>18</v>
      </c>
      <c r="K134" s="106"/>
      <c r="L134" s="107"/>
      <c r="M134" s="108"/>
      <c r="N134" s="164" t="s">
        <v>216</v>
      </c>
    </row>
    <row r="135" spans="1:14" ht="15" x14ac:dyDescent="0.2">
      <c r="A135" s="103">
        <f t="shared" ref="A135:A152" si="21">A134+1</f>
        <v>110</v>
      </c>
      <c r="B135" s="256"/>
      <c r="C135" s="104"/>
      <c r="D135" s="112" t="s">
        <v>217</v>
      </c>
      <c r="E135" s="110">
        <v>81</v>
      </c>
      <c r="F135" s="110"/>
      <c r="G135" s="107">
        <f>H134+1</f>
        <v>10</v>
      </c>
      <c r="H135" s="107">
        <f>H134+I135</f>
        <v>23</v>
      </c>
      <c r="I135" s="111">
        <v>14</v>
      </c>
      <c r="J135" s="111" t="s">
        <v>15</v>
      </c>
      <c r="K135" s="124"/>
      <c r="L135" s="107"/>
      <c r="M135" s="108"/>
      <c r="N135" s="109" t="s">
        <v>218</v>
      </c>
    </row>
    <row r="136" spans="1:14" ht="15" x14ac:dyDescent="0.2">
      <c r="A136" s="103">
        <f t="shared" si="21"/>
        <v>111</v>
      </c>
      <c r="B136" s="256"/>
      <c r="C136" s="104"/>
      <c r="D136" s="112" t="s">
        <v>219</v>
      </c>
      <c r="E136" s="110">
        <v>82</v>
      </c>
      <c r="F136" s="110"/>
      <c r="G136" s="107">
        <f t="shared" ref="G136:G144" si="22">H135+1</f>
        <v>24</v>
      </c>
      <c r="H136" s="107">
        <f t="shared" ref="H136:H144" si="23">H135+I136</f>
        <v>83</v>
      </c>
      <c r="I136" s="111">
        <v>60</v>
      </c>
      <c r="J136" s="111" t="s">
        <v>15</v>
      </c>
      <c r="K136" s="124"/>
      <c r="L136" s="107"/>
      <c r="M136" s="108"/>
      <c r="N136" s="109"/>
    </row>
    <row r="137" spans="1:14" ht="15" x14ac:dyDescent="0.2">
      <c r="A137" s="103">
        <f t="shared" si="21"/>
        <v>112</v>
      </c>
      <c r="B137" s="256"/>
      <c r="C137" s="104"/>
      <c r="D137" s="112" t="s">
        <v>166</v>
      </c>
      <c r="E137" s="110">
        <v>83</v>
      </c>
      <c r="F137" s="110"/>
      <c r="G137" s="107">
        <f t="shared" si="22"/>
        <v>84</v>
      </c>
      <c r="H137" s="107">
        <f t="shared" si="23"/>
        <v>143</v>
      </c>
      <c r="I137" s="111">
        <v>60</v>
      </c>
      <c r="J137" s="111" t="s">
        <v>15</v>
      </c>
      <c r="K137" s="124"/>
      <c r="L137" s="107"/>
      <c r="M137" s="108"/>
      <c r="N137" s="109"/>
    </row>
    <row r="138" spans="1:14" ht="15" x14ac:dyDescent="0.2">
      <c r="A138" s="103">
        <f t="shared" si="21"/>
        <v>113</v>
      </c>
      <c r="B138" s="256"/>
      <c r="C138" s="104"/>
      <c r="D138" s="112" t="s">
        <v>167</v>
      </c>
      <c r="E138" s="110">
        <v>84</v>
      </c>
      <c r="F138" s="110"/>
      <c r="G138" s="107">
        <f t="shared" si="22"/>
        <v>144</v>
      </c>
      <c r="H138" s="107">
        <f t="shared" si="23"/>
        <v>203</v>
      </c>
      <c r="I138" s="111">
        <v>60</v>
      </c>
      <c r="J138" s="111" t="s">
        <v>15</v>
      </c>
      <c r="K138" s="124"/>
      <c r="L138" s="107"/>
      <c r="M138" s="108"/>
      <c r="N138" s="109"/>
    </row>
    <row r="139" spans="1:14" ht="15" x14ac:dyDescent="0.2">
      <c r="A139" s="103">
        <f t="shared" si="21"/>
        <v>114</v>
      </c>
      <c r="B139" s="256"/>
      <c r="C139" s="104"/>
      <c r="D139" s="112" t="s">
        <v>168</v>
      </c>
      <c r="E139" s="110">
        <v>85</v>
      </c>
      <c r="F139" s="110"/>
      <c r="G139" s="107">
        <f t="shared" si="22"/>
        <v>204</v>
      </c>
      <c r="H139" s="107">
        <f t="shared" si="23"/>
        <v>263</v>
      </c>
      <c r="I139" s="111">
        <v>60</v>
      </c>
      <c r="J139" s="111" t="s">
        <v>15</v>
      </c>
      <c r="K139" s="124"/>
      <c r="L139" s="107"/>
      <c r="M139" s="108"/>
      <c r="N139" s="109"/>
    </row>
    <row r="140" spans="1:14" ht="15" x14ac:dyDescent="0.2">
      <c r="A140" s="103">
        <f t="shared" si="21"/>
        <v>115</v>
      </c>
      <c r="B140" s="256"/>
      <c r="C140" s="104"/>
      <c r="D140" s="112" t="s">
        <v>200</v>
      </c>
      <c r="E140" s="110">
        <v>86</v>
      </c>
      <c r="F140" s="110"/>
      <c r="G140" s="107">
        <f t="shared" si="22"/>
        <v>264</v>
      </c>
      <c r="H140" s="107">
        <f t="shared" si="23"/>
        <v>270</v>
      </c>
      <c r="I140" s="111">
        <v>7</v>
      </c>
      <c r="J140" s="111" t="s">
        <v>18</v>
      </c>
      <c r="K140" s="124"/>
      <c r="L140" s="107"/>
      <c r="M140" s="108"/>
      <c r="N140" s="109" t="s">
        <v>169</v>
      </c>
    </row>
    <row r="141" spans="1:14" ht="15" x14ac:dyDescent="0.2">
      <c r="A141" s="103">
        <f t="shared" si="21"/>
        <v>116</v>
      </c>
      <c r="B141" s="256"/>
      <c r="C141" s="104"/>
      <c r="D141" s="112" t="s">
        <v>170</v>
      </c>
      <c r="E141" s="110">
        <v>87</v>
      </c>
      <c r="F141" s="110"/>
      <c r="G141" s="107">
        <f t="shared" si="22"/>
        <v>271</v>
      </c>
      <c r="H141" s="107">
        <f t="shared" si="23"/>
        <v>330</v>
      </c>
      <c r="I141" s="111">
        <v>60</v>
      </c>
      <c r="J141" s="111" t="s">
        <v>15</v>
      </c>
      <c r="K141" s="124"/>
      <c r="L141" s="107"/>
      <c r="M141" s="108"/>
      <c r="N141" s="109" t="s">
        <v>171</v>
      </c>
    </row>
    <row r="142" spans="1:14" ht="15" x14ac:dyDescent="0.2">
      <c r="A142" s="103">
        <f t="shared" si="21"/>
        <v>117</v>
      </c>
      <c r="B142" s="256"/>
      <c r="C142" s="104"/>
      <c r="D142" s="112" t="s">
        <v>172</v>
      </c>
      <c r="E142" s="110">
        <v>88</v>
      </c>
      <c r="F142" s="110"/>
      <c r="G142" s="107">
        <f t="shared" si="22"/>
        <v>331</v>
      </c>
      <c r="H142" s="107">
        <f t="shared" si="23"/>
        <v>332</v>
      </c>
      <c r="I142" s="111">
        <v>2</v>
      </c>
      <c r="J142" s="111" t="s">
        <v>15</v>
      </c>
      <c r="K142" s="124"/>
      <c r="L142" s="107"/>
      <c r="M142" s="108"/>
      <c r="N142" s="109" t="s">
        <v>173</v>
      </c>
    </row>
    <row r="143" spans="1:14" ht="15" x14ac:dyDescent="0.2">
      <c r="A143" s="103">
        <f t="shared" si="21"/>
        <v>118</v>
      </c>
      <c r="B143" s="256"/>
      <c r="C143" s="104"/>
      <c r="D143" s="112" t="s">
        <v>220</v>
      </c>
      <c r="E143" s="110" t="s">
        <v>14</v>
      </c>
      <c r="F143" s="110"/>
      <c r="G143" s="107">
        <f t="shared" si="22"/>
        <v>333</v>
      </c>
      <c r="H143" s="107">
        <f t="shared" si="23"/>
        <v>392</v>
      </c>
      <c r="I143" s="111">
        <v>60</v>
      </c>
      <c r="J143" s="111" t="s">
        <v>15</v>
      </c>
      <c r="K143" s="124"/>
      <c r="L143" s="107"/>
      <c r="M143" s="108"/>
      <c r="N143" s="109" t="s">
        <v>221</v>
      </c>
    </row>
    <row r="144" spans="1:14" ht="15" x14ac:dyDescent="0.2">
      <c r="A144" s="103">
        <f t="shared" si="21"/>
        <v>119</v>
      </c>
      <c r="B144" s="256"/>
      <c r="C144" s="104"/>
      <c r="D144" s="112" t="s">
        <v>222</v>
      </c>
      <c r="E144" s="110" t="s">
        <v>14</v>
      </c>
      <c r="F144" s="110"/>
      <c r="G144" s="107">
        <f t="shared" si="22"/>
        <v>393</v>
      </c>
      <c r="H144" s="107">
        <f t="shared" si="23"/>
        <v>401</v>
      </c>
      <c r="I144" s="111">
        <v>9</v>
      </c>
      <c r="J144" s="111" t="s">
        <v>15</v>
      </c>
      <c r="K144" s="124"/>
      <c r="L144" s="107"/>
      <c r="M144" s="108"/>
      <c r="N144" s="109"/>
    </row>
    <row r="145" spans="1:14" ht="15" x14ac:dyDescent="0.2">
      <c r="A145" s="103">
        <f t="shared" si="21"/>
        <v>120</v>
      </c>
      <c r="B145" s="256"/>
      <c r="C145" s="104"/>
      <c r="D145" s="112" t="s">
        <v>223</v>
      </c>
      <c r="E145" s="110" t="s">
        <v>224</v>
      </c>
      <c r="F145" s="110"/>
      <c r="G145" s="107">
        <f t="shared" ref="G145:G151" si="24">H144+1</f>
        <v>402</v>
      </c>
      <c r="H145" s="107">
        <f t="shared" ref="H145:H151" si="25">H144+I145</f>
        <v>412</v>
      </c>
      <c r="I145" s="111">
        <v>11</v>
      </c>
      <c r="J145" s="111" t="s">
        <v>15</v>
      </c>
      <c r="K145" s="124"/>
      <c r="L145" s="107"/>
      <c r="M145" s="108"/>
      <c r="N145" s="109" t="s">
        <v>225</v>
      </c>
    </row>
    <row r="146" spans="1:14" ht="15" x14ac:dyDescent="0.2">
      <c r="A146" s="169">
        <f t="shared" si="21"/>
        <v>121</v>
      </c>
      <c r="B146" s="257"/>
      <c r="C146" s="167"/>
      <c r="D146" s="120" t="s">
        <v>174</v>
      </c>
      <c r="E146" s="182" t="s">
        <v>226</v>
      </c>
      <c r="F146" s="182"/>
      <c r="G146" s="101">
        <f t="shared" si="24"/>
        <v>413</v>
      </c>
      <c r="H146" s="101">
        <f t="shared" si="25"/>
        <v>420</v>
      </c>
      <c r="I146" s="206">
        <v>8</v>
      </c>
      <c r="J146" s="206" t="s">
        <v>18</v>
      </c>
      <c r="K146" s="185"/>
      <c r="L146" s="101"/>
      <c r="M146" s="102"/>
      <c r="N146" s="228" t="s">
        <v>227</v>
      </c>
    </row>
    <row r="147" spans="1:14" ht="15" x14ac:dyDescent="0.2">
      <c r="A147" s="169">
        <f t="shared" si="21"/>
        <v>122</v>
      </c>
      <c r="B147" s="257"/>
      <c r="C147" s="167"/>
      <c r="D147" s="120" t="s">
        <v>176</v>
      </c>
      <c r="E147" s="182" t="s">
        <v>228</v>
      </c>
      <c r="F147" s="182"/>
      <c r="G147" s="101">
        <f t="shared" si="24"/>
        <v>421</v>
      </c>
      <c r="H147" s="101">
        <f t="shared" si="25"/>
        <v>424</v>
      </c>
      <c r="I147" s="206">
        <v>4</v>
      </c>
      <c r="J147" s="206" t="s">
        <v>18</v>
      </c>
      <c r="K147" s="185"/>
      <c r="L147" s="101"/>
      <c r="M147" s="102"/>
      <c r="N147" s="228" t="s">
        <v>229</v>
      </c>
    </row>
    <row r="148" spans="1:14" ht="15" x14ac:dyDescent="0.2">
      <c r="A148" s="169">
        <f t="shared" si="21"/>
        <v>123</v>
      </c>
      <c r="B148" s="257"/>
      <c r="C148" s="167"/>
      <c r="D148" s="120" t="s">
        <v>177</v>
      </c>
      <c r="E148" s="182" t="s">
        <v>230</v>
      </c>
      <c r="F148" s="182"/>
      <c r="G148" s="101">
        <f t="shared" si="24"/>
        <v>425</v>
      </c>
      <c r="H148" s="101">
        <f t="shared" si="25"/>
        <v>484</v>
      </c>
      <c r="I148" s="206">
        <v>60</v>
      </c>
      <c r="J148" s="206" t="s">
        <v>15</v>
      </c>
      <c r="K148" s="185"/>
      <c r="L148" s="101"/>
      <c r="M148" s="102"/>
      <c r="N148" s="228"/>
    </row>
    <row r="149" spans="1:14" ht="25.5" x14ac:dyDescent="0.2">
      <c r="A149" s="169">
        <f t="shared" si="21"/>
        <v>124</v>
      </c>
      <c r="B149" s="257"/>
      <c r="C149" s="167"/>
      <c r="D149" s="120" t="s">
        <v>178</v>
      </c>
      <c r="E149" s="182" t="s">
        <v>231</v>
      </c>
      <c r="F149" s="182"/>
      <c r="G149" s="101">
        <f t="shared" si="24"/>
        <v>485</v>
      </c>
      <c r="H149" s="101">
        <f t="shared" si="25"/>
        <v>498</v>
      </c>
      <c r="I149" s="206">
        <v>14</v>
      </c>
      <c r="J149" s="206" t="s">
        <v>18</v>
      </c>
      <c r="K149" s="185"/>
      <c r="L149" s="101"/>
      <c r="M149" s="102"/>
      <c r="N149" s="228" t="s">
        <v>232</v>
      </c>
    </row>
    <row r="150" spans="1:14" ht="15" x14ac:dyDescent="0.2">
      <c r="A150" s="169">
        <f t="shared" si="21"/>
        <v>125</v>
      </c>
      <c r="B150" s="257"/>
      <c r="C150" s="167"/>
      <c r="D150" s="120" t="s">
        <v>233</v>
      </c>
      <c r="E150" s="182" t="s">
        <v>234</v>
      </c>
      <c r="F150" s="182"/>
      <c r="G150" s="101">
        <f t="shared" si="24"/>
        <v>499</v>
      </c>
      <c r="H150" s="101">
        <f t="shared" si="25"/>
        <v>558</v>
      </c>
      <c r="I150" s="206">
        <v>60</v>
      </c>
      <c r="J150" s="206" t="s">
        <v>15</v>
      </c>
      <c r="K150" s="185"/>
      <c r="L150" s="101"/>
      <c r="M150" s="102"/>
      <c r="N150" s="228"/>
    </row>
    <row r="151" spans="1:14" ht="15" x14ac:dyDescent="0.2">
      <c r="A151" s="169">
        <f t="shared" si="21"/>
        <v>126</v>
      </c>
      <c r="B151" s="257"/>
      <c r="C151" s="167"/>
      <c r="D151" s="120" t="s">
        <v>235</v>
      </c>
      <c r="E151" s="182" t="s">
        <v>236</v>
      </c>
      <c r="F151" s="182"/>
      <c r="G151" s="101">
        <f t="shared" si="24"/>
        <v>559</v>
      </c>
      <c r="H151" s="101">
        <f t="shared" si="25"/>
        <v>572</v>
      </c>
      <c r="I151" s="206">
        <v>14</v>
      </c>
      <c r="J151" s="206" t="s">
        <v>18</v>
      </c>
      <c r="K151" s="185"/>
      <c r="L151" s="101"/>
      <c r="M151" s="102"/>
      <c r="N151" s="228" t="s">
        <v>237</v>
      </c>
    </row>
    <row r="152" spans="1:14" ht="15" x14ac:dyDescent="0.2">
      <c r="A152" s="288">
        <f t="shared" si="21"/>
        <v>127</v>
      </c>
      <c r="B152" s="292"/>
      <c r="C152" s="293"/>
      <c r="D152" s="294" t="s">
        <v>28</v>
      </c>
      <c r="E152" s="289" t="s">
        <v>14</v>
      </c>
      <c r="F152" s="289"/>
      <c r="G152" s="290">
        <v>573</v>
      </c>
      <c r="H152" s="290">
        <v>600</v>
      </c>
      <c r="I152" s="290">
        <f>H152-G152</f>
        <v>27</v>
      </c>
      <c r="J152" s="290" t="s">
        <v>15</v>
      </c>
      <c r="K152" s="289"/>
      <c r="L152" s="290"/>
      <c r="M152" s="291"/>
      <c r="N152" s="295" t="s">
        <v>29</v>
      </c>
    </row>
    <row r="153" spans="1:14" ht="14.45" customHeight="1" x14ac:dyDescent="0.2">
      <c r="A153" s="324"/>
      <c r="B153" s="325"/>
      <c r="C153" s="325"/>
      <c r="D153" s="325"/>
      <c r="E153" s="325"/>
      <c r="F153" s="325"/>
      <c r="G153" s="325"/>
      <c r="H153" s="325"/>
      <c r="I153" s="325"/>
      <c r="J153" s="325"/>
      <c r="K153" s="325"/>
      <c r="L153" s="325"/>
      <c r="M153" s="325"/>
      <c r="N153" s="326"/>
    </row>
    <row r="154" spans="1:14" x14ac:dyDescent="0.2">
      <c r="A154" s="103">
        <f>A152+1</f>
        <v>128</v>
      </c>
      <c r="B154" s="103"/>
      <c r="C154" s="163" t="s">
        <v>238</v>
      </c>
      <c r="D154" s="164"/>
      <c r="E154" s="106" t="s">
        <v>14</v>
      </c>
      <c r="F154" s="106"/>
      <c r="G154" s="107">
        <f>$H$16+1</f>
        <v>7</v>
      </c>
      <c r="H154" s="107">
        <f>I154+$H$16</f>
        <v>9</v>
      </c>
      <c r="I154" s="107">
        <v>3</v>
      </c>
      <c r="J154" s="107" t="s">
        <v>18</v>
      </c>
      <c r="K154" s="106"/>
      <c r="L154" s="107"/>
      <c r="M154" s="108"/>
      <c r="N154" s="164" t="s">
        <v>239</v>
      </c>
    </row>
    <row r="155" spans="1:14" ht="15" x14ac:dyDescent="0.2">
      <c r="A155" s="103">
        <f t="shared" ref="A155:A189" si="26">A154+1</f>
        <v>129</v>
      </c>
      <c r="B155" s="256"/>
      <c r="C155" s="104"/>
      <c r="D155" s="112" t="s">
        <v>240</v>
      </c>
      <c r="E155" s="110">
        <v>90</v>
      </c>
      <c r="F155" s="110"/>
      <c r="G155" s="107">
        <f t="shared" ref="G155:G164" si="27">H154+1</f>
        <v>10</v>
      </c>
      <c r="H155" s="107">
        <f t="shared" ref="H155:H162" si="28">H154+I155</f>
        <v>23</v>
      </c>
      <c r="I155" s="111">
        <v>14</v>
      </c>
      <c r="J155" s="111" t="s">
        <v>15</v>
      </c>
      <c r="K155" s="124"/>
      <c r="L155" s="107"/>
      <c r="M155" s="108"/>
      <c r="N155" s="109" t="s">
        <v>218</v>
      </c>
    </row>
    <row r="156" spans="1:14" ht="15" x14ac:dyDescent="0.2">
      <c r="A156" s="103">
        <f t="shared" si="26"/>
        <v>130</v>
      </c>
      <c r="B156" s="256"/>
      <c r="C156" s="104"/>
      <c r="D156" s="112" t="s">
        <v>241</v>
      </c>
      <c r="E156" s="110">
        <v>91</v>
      </c>
      <c r="F156" s="110"/>
      <c r="G156" s="107">
        <f t="shared" si="27"/>
        <v>24</v>
      </c>
      <c r="H156" s="107">
        <f t="shared" si="28"/>
        <v>83</v>
      </c>
      <c r="I156" s="111">
        <v>60</v>
      </c>
      <c r="J156" s="111" t="s">
        <v>15</v>
      </c>
      <c r="K156" s="124"/>
      <c r="L156" s="107"/>
      <c r="M156" s="108"/>
      <c r="N156" s="109"/>
    </row>
    <row r="157" spans="1:14" ht="15" x14ac:dyDescent="0.2">
      <c r="A157" s="103">
        <f t="shared" si="26"/>
        <v>131</v>
      </c>
      <c r="B157" s="256"/>
      <c r="C157" s="104"/>
      <c r="D157" s="112" t="s">
        <v>166</v>
      </c>
      <c r="E157" s="110">
        <v>92</v>
      </c>
      <c r="F157" s="110"/>
      <c r="G157" s="107">
        <f t="shared" si="27"/>
        <v>84</v>
      </c>
      <c r="H157" s="107">
        <f t="shared" si="28"/>
        <v>143</v>
      </c>
      <c r="I157" s="111">
        <v>60</v>
      </c>
      <c r="J157" s="111" t="s">
        <v>15</v>
      </c>
      <c r="K157" s="124"/>
      <c r="L157" s="107"/>
      <c r="M157" s="108"/>
      <c r="N157" s="109"/>
    </row>
    <row r="158" spans="1:14" ht="15" x14ac:dyDescent="0.2">
      <c r="A158" s="103">
        <f t="shared" si="26"/>
        <v>132</v>
      </c>
      <c r="B158" s="256"/>
      <c r="C158" s="104"/>
      <c r="D158" s="112" t="s">
        <v>167</v>
      </c>
      <c r="E158" s="110">
        <v>93</v>
      </c>
      <c r="F158" s="110"/>
      <c r="G158" s="107">
        <f t="shared" si="27"/>
        <v>144</v>
      </c>
      <c r="H158" s="107">
        <f t="shared" si="28"/>
        <v>203</v>
      </c>
      <c r="I158" s="111">
        <v>60</v>
      </c>
      <c r="J158" s="111" t="s">
        <v>15</v>
      </c>
      <c r="K158" s="124"/>
      <c r="L158" s="107"/>
      <c r="M158" s="108"/>
      <c r="N158" s="109"/>
    </row>
    <row r="159" spans="1:14" ht="15" x14ac:dyDescent="0.2">
      <c r="A159" s="103">
        <f t="shared" si="26"/>
        <v>133</v>
      </c>
      <c r="B159" s="256"/>
      <c r="C159" s="104"/>
      <c r="D159" s="112" t="s">
        <v>168</v>
      </c>
      <c r="E159" s="110">
        <v>94</v>
      </c>
      <c r="F159" s="110"/>
      <c r="G159" s="107">
        <f t="shared" si="27"/>
        <v>204</v>
      </c>
      <c r="H159" s="107">
        <f t="shared" si="28"/>
        <v>263</v>
      </c>
      <c r="I159" s="111">
        <v>60</v>
      </c>
      <c r="J159" s="111" t="s">
        <v>15</v>
      </c>
      <c r="K159" s="124"/>
      <c r="L159" s="107"/>
      <c r="M159" s="108"/>
      <c r="N159" s="109"/>
    </row>
    <row r="160" spans="1:14" ht="15" x14ac:dyDescent="0.2">
      <c r="A160" s="103">
        <f t="shared" si="26"/>
        <v>134</v>
      </c>
      <c r="B160" s="256"/>
      <c r="C160" s="104"/>
      <c r="D160" s="112" t="s">
        <v>200</v>
      </c>
      <c r="E160" s="110">
        <v>95</v>
      </c>
      <c r="F160" s="110"/>
      <c r="G160" s="107">
        <f t="shared" si="27"/>
        <v>264</v>
      </c>
      <c r="H160" s="107">
        <f t="shared" si="28"/>
        <v>270</v>
      </c>
      <c r="I160" s="111">
        <v>7</v>
      </c>
      <c r="J160" s="111" t="s">
        <v>18</v>
      </c>
      <c r="K160" s="124"/>
      <c r="L160" s="107"/>
      <c r="M160" s="108"/>
      <c r="N160" s="109" t="s">
        <v>169</v>
      </c>
    </row>
    <row r="161" spans="1:14" ht="15" x14ac:dyDescent="0.2">
      <c r="A161" s="103">
        <f t="shared" si="26"/>
        <v>135</v>
      </c>
      <c r="B161" s="256"/>
      <c r="C161" s="104"/>
      <c r="D161" s="112" t="s">
        <v>170</v>
      </c>
      <c r="E161" s="110">
        <v>96</v>
      </c>
      <c r="F161" s="110"/>
      <c r="G161" s="107">
        <f t="shared" si="27"/>
        <v>271</v>
      </c>
      <c r="H161" s="107">
        <f t="shared" si="28"/>
        <v>330</v>
      </c>
      <c r="I161" s="111">
        <v>60</v>
      </c>
      <c r="J161" s="111" t="s">
        <v>15</v>
      </c>
      <c r="K161" s="124"/>
      <c r="L161" s="107"/>
      <c r="M161" s="108"/>
      <c r="N161" s="109" t="s">
        <v>171</v>
      </c>
    </row>
    <row r="162" spans="1:14" ht="15" x14ac:dyDescent="0.2">
      <c r="A162" s="103">
        <f t="shared" si="26"/>
        <v>136</v>
      </c>
      <c r="B162" s="256"/>
      <c r="C162" s="104"/>
      <c r="D162" s="112" t="s">
        <v>172</v>
      </c>
      <c r="E162" s="110">
        <v>97</v>
      </c>
      <c r="F162" s="110"/>
      <c r="G162" s="107">
        <f t="shared" si="27"/>
        <v>331</v>
      </c>
      <c r="H162" s="107">
        <f t="shared" si="28"/>
        <v>332</v>
      </c>
      <c r="I162" s="111">
        <v>2</v>
      </c>
      <c r="J162" s="111" t="s">
        <v>15</v>
      </c>
      <c r="K162" s="124"/>
      <c r="L162" s="107"/>
      <c r="M162" s="108"/>
      <c r="N162" s="109" t="s">
        <v>173</v>
      </c>
    </row>
    <row r="163" spans="1:14" ht="15" x14ac:dyDescent="0.2">
      <c r="A163" s="103">
        <f t="shared" si="26"/>
        <v>137</v>
      </c>
      <c r="B163" s="256"/>
      <c r="C163" s="104"/>
      <c r="D163" s="112" t="s">
        <v>220</v>
      </c>
      <c r="E163" s="110" t="s">
        <v>14</v>
      </c>
      <c r="F163" s="110"/>
      <c r="G163" s="107">
        <f t="shared" si="27"/>
        <v>333</v>
      </c>
      <c r="H163" s="107">
        <f t="shared" ref="H163:H171" si="29">H162+I163</f>
        <v>392</v>
      </c>
      <c r="I163" s="111">
        <v>60</v>
      </c>
      <c r="J163" s="111" t="s">
        <v>15</v>
      </c>
      <c r="K163" s="124"/>
      <c r="L163" s="107"/>
      <c r="M163" s="108"/>
      <c r="N163" s="109" t="s">
        <v>242</v>
      </c>
    </row>
    <row r="164" spans="1:14" ht="15" x14ac:dyDescent="0.2">
      <c r="A164" s="103">
        <f t="shared" si="26"/>
        <v>138</v>
      </c>
      <c r="B164" s="256"/>
      <c r="C164" s="104"/>
      <c r="D164" s="112" t="s">
        <v>222</v>
      </c>
      <c r="E164" s="110" t="s">
        <v>14</v>
      </c>
      <c r="F164" s="110"/>
      <c r="G164" s="107">
        <f t="shared" si="27"/>
        <v>393</v>
      </c>
      <c r="H164" s="107">
        <f t="shared" si="29"/>
        <v>401</v>
      </c>
      <c r="I164" s="111">
        <v>9</v>
      </c>
      <c r="J164" s="111" t="s">
        <v>15</v>
      </c>
      <c r="K164" s="124"/>
      <c r="L164" s="107"/>
      <c r="M164" s="108"/>
      <c r="N164" s="109"/>
    </row>
    <row r="165" spans="1:14" ht="15" x14ac:dyDescent="0.2">
      <c r="A165" s="103">
        <f t="shared" si="26"/>
        <v>139</v>
      </c>
      <c r="B165" s="256"/>
      <c r="C165" s="104"/>
      <c r="D165" s="112" t="s">
        <v>223</v>
      </c>
      <c r="E165" s="110" t="s">
        <v>243</v>
      </c>
      <c r="F165" s="110"/>
      <c r="G165" s="107">
        <f t="shared" ref="G165:G171" si="30">H164+1</f>
        <v>402</v>
      </c>
      <c r="H165" s="107">
        <f t="shared" si="29"/>
        <v>412</v>
      </c>
      <c r="I165" s="111">
        <v>11</v>
      </c>
      <c r="J165" s="111" t="s">
        <v>15</v>
      </c>
      <c r="K165" s="124"/>
      <c r="L165" s="107"/>
      <c r="M165" s="108"/>
      <c r="N165" s="109" t="s">
        <v>225</v>
      </c>
    </row>
    <row r="166" spans="1:14" ht="15" x14ac:dyDescent="0.2">
      <c r="A166" s="169">
        <f t="shared" si="26"/>
        <v>140</v>
      </c>
      <c r="B166" s="257"/>
      <c r="C166" s="167"/>
      <c r="D166" s="120" t="s">
        <v>174</v>
      </c>
      <c r="E166" s="182" t="s">
        <v>244</v>
      </c>
      <c r="F166" s="182"/>
      <c r="G166" s="101">
        <f t="shared" si="30"/>
        <v>413</v>
      </c>
      <c r="H166" s="101">
        <f t="shared" si="29"/>
        <v>420</v>
      </c>
      <c r="I166" s="206">
        <v>8</v>
      </c>
      <c r="J166" s="206" t="s">
        <v>18</v>
      </c>
      <c r="K166" s="185"/>
      <c r="L166" s="101"/>
      <c r="M166" s="102"/>
      <c r="N166" s="228" t="s">
        <v>227</v>
      </c>
    </row>
    <row r="167" spans="1:14" ht="15" x14ac:dyDescent="0.2">
      <c r="A167" s="169">
        <f t="shared" si="26"/>
        <v>141</v>
      </c>
      <c r="B167" s="257"/>
      <c r="C167" s="167"/>
      <c r="D167" s="120" t="s">
        <v>176</v>
      </c>
      <c r="E167" s="182" t="s">
        <v>245</v>
      </c>
      <c r="F167" s="182"/>
      <c r="G167" s="101">
        <f t="shared" si="30"/>
        <v>421</v>
      </c>
      <c r="H167" s="101">
        <f t="shared" si="29"/>
        <v>424</v>
      </c>
      <c r="I167" s="206">
        <v>4</v>
      </c>
      <c r="J167" s="206" t="s">
        <v>18</v>
      </c>
      <c r="K167" s="185"/>
      <c r="L167" s="101"/>
      <c r="M167" s="102"/>
      <c r="N167" s="228" t="s">
        <v>229</v>
      </c>
    </row>
    <row r="168" spans="1:14" ht="15" x14ac:dyDescent="0.2">
      <c r="A168" s="169">
        <f t="shared" si="26"/>
        <v>142</v>
      </c>
      <c r="B168" s="257"/>
      <c r="C168" s="167"/>
      <c r="D168" s="120" t="s">
        <v>177</v>
      </c>
      <c r="E168" s="182" t="s">
        <v>246</v>
      </c>
      <c r="F168" s="182"/>
      <c r="G168" s="101">
        <f t="shared" si="30"/>
        <v>425</v>
      </c>
      <c r="H168" s="101">
        <f t="shared" si="29"/>
        <v>484</v>
      </c>
      <c r="I168" s="206">
        <v>60</v>
      </c>
      <c r="J168" s="206" t="s">
        <v>15</v>
      </c>
      <c r="K168" s="185"/>
      <c r="L168" s="101"/>
      <c r="M168" s="102"/>
      <c r="N168" s="228"/>
    </row>
    <row r="169" spans="1:14" ht="25.5" x14ac:dyDescent="0.2">
      <c r="A169" s="169">
        <f t="shared" si="26"/>
        <v>143</v>
      </c>
      <c r="B169" s="257"/>
      <c r="C169" s="167"/>
      <c r="D169" s="120" t="s">
        <v>178</v>
      </c>
      <c r="E169" s="182" t="s">
        <v>247</v>
      </c>
      <c r="F169" s="182"/>
      <c r="G169" s="101">
        <f t="shared" si="30"/>
        <v>485</v>
      </c>
      <c r="H169" s="101">
        <f t="shared" si="29"/>
        <v>498</v>
      </c>
      <c r="I169" s="206">
        <v>14</v>
      </c>
      <c r="J169" s="206" t="s">
        <v>18</v>
      </c>
      <c r="K169" s="185"/>
      <c r="L169" s="101"/>
      <c r="M169" s="102"/>
      <c r="N169" s="228" t="s">
        <v>232</v>
      </c>
    </row>
    <row r="170" spans="1:14" ht="15" x14ac:dyDescent="0.2">
      <c r="A170" s="169">
        <f t="shared" si="26"/>
        <v>144</v>
      </c>
      <c r="B170" s="257"/>
      <c r="C170" s="167"/>
      <c r="D170" s="120" t="s">
        <v>248</v>
      </c>
      <c r="E170" s="182" t="s">
        <v>249</v>
      </c>
      <c r="F170" s="182"/>
      <c r="G170" s="101">
        <f t="shared" si="30"/>
        <v>499</v>
      </c>
      <c r="H170" s="101">
        <f t="shared" si="29"/>
        <v>558</v>
      </c>
      <c r="I170" s="206">
        <v>60</v>
      </c>
      <c r="J170" s="206" t="s">
        <v>15</v>
      </c>
      <c r="K170" s="185"/>
      <c r="L170" s="101"/>
      <c r="M170" s="102"/>
      <c r="N170" s="228"/>
    </row>
    <row r="171" spans="1:14" ht="15" x14ac:dyDescent="0.2">
      <c r="A171" s="169">
        <f t="shared" si="26"/>
        <v>145</v>
      </c>
      <c r="B171" s="257"/>
      <c r="C171" s="167"/>
      <c r="D171" s="120" t="s">
        <v>250</v>
      </c>
      <c r="E171" s="182" t="s">
        <v>251</v>
      </c>
      <c r="F171" s="182"/>
      <c r="G171" s="101">
        <f t="shared" si="30"/>
        <v>559</v>
      </c>
      <c r="H171" s="101">
        <f t="shared" si="29"/>
        <v>572</v>
      </c>
      <c r="I171" s="206">
        <v>14</v>
      </c>
      <c r="J171" s="206" t="s">
        <v>18</v>
      </c>
      <c r="K171" s="185"/>
      <c r="L171" s="101"/>
      <c r="M171" s="102"/>
      <c r="N171" s="228" t="s">
        <v>237</v>
      </c>
    </row>
    <row r="172" spans="1:14" ht="15" x14ac:dyDescent="0.2">
      <c r="A172" s="288">
        <f t="shared" si="26"/>
        <v>146</v>
      </c>
      <c r="B172" s="292"/>
      <c r="C172" s="293"/>
      <c r="D172" s="294" t="s">
        <v>28</v>
      </c>
      <c r="E172" s="289" t="s">
        <v>14</v>
      </c>
      <c r="F172" s="289"/>
      <c r="G172" s="290">
        <v>573</v>
      </c>
      <c r="H172" s="290">
        <v>600</v>
      </c>
      <c r="I172" s="290">
        <f>H172-G172</f>
        <v>27</v>
      </c>
      <c r="J172" s="290" t="s">
        <v>15</v>
      </c>
      <c r="K172" s="289"/>
      <c r="L172" s="290"/>
      <c r="M172" s="291"/>
      <c r="N172" s="295" t="s">
        <v>29</v>
      </c>
    </row>
    <row r="173" spans="1:14" ht="14.45" customHeight="1" x14ac:dyDescent="0.2">
      <c r="A173" s="324"/>
      <c r="B173" s="325"/>
      <c r="C173" s="325"/>
      <c r="D173" s="325"/>
      <c r="E173" s="325"/>
      <c r="F173" s="325"/>
      <c r="G173" s="325"/>
      <c r="H173" s="325"/>
      <c r="I173" s="325"/>
      <c r="J173" s="325"/>
      <c r="K173" s="325"/>
      <c r="L173" s="325"/>
      <c r="M173" s="325"/>
      <c r="N173" s="326"/>
    </row>
    <row r="174" spans="1:14" s="117" customFormat="1" x14ac:dyDescent="0.2">
      <c r="A174" s="103">
        <f>A172+1</f>
        <v>147</v>
      </c>
      <c r="B174" s="103"/>
      <c r="C174" s="163" t="s">
        <v>252</v>
      </c>
      <c r="D174" s="163"/>
      <c r="E174" s="219" t="s">
        <v>14</v>
      </c>
      <c r="F174" s="219"/>
      <c r="G174" s="220">
        <f>$H$16+1</f>
        <v>7</v>
      </c>
      <c r="H174" s="220">
        <f>I174+$H$16</f>
        <v>9</v>
      </c>
      <c r="I174" s="220">
        <v>3</v>
      </c>
      <c r="J174" s="220" t="s">
        <v>18</v>
      </c>
      <c r="K174" s="219"/>
      <c r="L174" s="220"/>
      <c r="M174" s="164"/>
      <c r="N174" s="164" t="s">
        <v>253</v>
      </c>
    </row>
    <row r="175" spans="1:14" s="117" customFormat="1" ht="25.5" x14ac:dyDescent="0.2">
      <c r="A175" s="103">
        <f t="shared" si="26"/>
        <v>148</v>
      </c>
      <c r="B175" s="103"/>
      <c r="C175" s="112"/>
      <c r="D175" s="112" t="s">
        <v>254</v>
      </c>
      <c r="E175" s="110" t="s">
        <v>255</v>
      </c>
      <c r="F175" s="110"/>
      <c r="G175" s="107">
        <v>10</v>
      </c>
      <c r="H175" s="107">
        <v>24</v>
      </c>
      <c r="I175" s="111">
        <v>15</v>
      </c>
      <c r="J175" s="111" t="s">
        <v>15</v>
      </c>
      <c r="K175" s="124"/>
      <c r="L175" s="107"/>
      <c r="M175" s="108"/>
      <c r="N175" s="109" t="s">
        <v>256</v>
      </c>
    </row>
    <row r="176" spans="1:14" ht="15" x14ac:dyDescent="0.2">
      <c r="A176" s="288">
        <f t="shared" si="26"/>
        <v>149</v>
      </c>
      <c r="B176" s="292"/>
      <c r="C176" s="293"/>
      <c r="D176" s="294" t="s">
        <v>28</v>
      </c>
      <c r="E176" s="289" t="s">
        <v>14</v>
      </c>
      <c r="F176" s="289"/>
      <c r="G176" s="290">
        <v>25</v>
      </c>
      <c r="H176" s="290">
        <v>600</v>
      </c>
      <c r="I176" s="290">
        <f>H176-H175</f>
        <v>576</v>
      </c>
      <c r="J176" s="290" t="s">
        <v>15</v>
      </c>
      <c r="K176" s="289"/>
      <c r="L176" s="290"/>
      <c r="M176" s="291"/>
      <c r="N176" s="295" t="s">
        <v>29</v>
      </c>
    </row>
    <row r="177" spans="1:14" ht="14.45" customHeight="1" x14ac:dyDescent="0.2">
      <c r="A177" s="324"/>
      <c r="B177" s="325"/>
      <c r="C177" s="325"/>
      <c r="D177" s="325"/>
      <c r="E177" s="325"/>
      <c r="F177" s="325"/>
      <c r="G177" s="325"/>
      <c r="H177" s="325"/>
      <c r="I177" s="325"/>
      <c r="J177" s="325"/>
      <c r="K177" s="325"/>
      <c r="L177" s="325"/>
      <c r="M177" s="325"/>
      <c r="N177" s="326"/>
    </row>
    <row r="178" spans="1:14" s="117" customFormat="1" x14ac:dyDescent="0.2">
      <c r="A178" s="103">
        <f>A176+1</f>
        <v>150</v>
      </c>
      <c r="B178" s="103"/>
      <c r="C178" s="163" t="s">
        <v>257</v>
      </c>
      <c r="D178" s="163"/>
      <c r="E178" s="219" t="s">
        <v>14</v>
      </c>
      <c r="F178" s="219"/>
      <c r="G178" s="220">
        <f>$H$16+1</f>
        <v>7</v>
      </c>
      <c r="H178" s="220">
        <f>I178+$H$16</f>
        <v>9</v>
      </c>
      <c r="I178" s="220">
        <v>3</v>
      </c>
      <c r="J178" s="220" t="s">
        <v>18</v>
      </c>
      <c r="K178" s="219"/>
      <c r="L178" s="220"/>
      <c r="M178" s="164"/>
      <c r="N178" s="164" t="s">
        <v>258</v>
      </c>
    </row>
    <row r="179" spans="1:14" s="117" customFormat="1" x14ac:dyDescent="0.2">
      <c r="A179" s="103">
        <f t="shared" si="26"/>
        <v>151</v>
      </c>
      <c r="B179" s="103"/>
      <c r="C179" s="112"/>
      <c r="D179" s="112" t="s">
        <v>259</v>
      </c>
      <c r="E179" s="106" t="s">
        <v>260</v>
      </c>
      <c r="F179" s="106"/>
      <c r="G179" s="107">
        <v>10</v>
      </c>
      <c r="H179" s="107">
        <v>23</v>
      </c>
      <c r="I179" s="107">
        <v>14</v>
      </c>
      <c r="J179" s="107" t="s">
        <v>18</v>
      </c>
      <c r="K179" s="106"/>
      <c r="L179" s="107"/>
      <c r="M179" s="108"/>
      <c r="N179" s="341" t="s">
        <v>261</v>
      </c>
    </row>
    <row r="180" spans="1:14" s="117" customFormat="1" x14ac:dyDescent="0.2">
      <c r="A180" s="103">
        <f t="shared" si="26"/>
        <v>152</v>
      </c>
      <c r="B180" s="103"/>
      <c r="C180" s="112"/>
      <c r="D180" s="112" t="s">
        <v>262</v>
      </c>
      <c r="E180" s="106" t="s">
        <v>263</v>
      </c>
      <c r="F180" s="106"/>
      <c r="G180" s="107">
        <v>24</v>
      </c>
      <c r="H180" s="107">
        <v>34</v>
      </c>
      <c r="I180" s="107">
        <v>11</v>
      </c>
      <c r="J180" s="107" t="s">
        <v>18</v>
      </c>
      <c r="K180" s="106"/>
      <c r="L180" s="107"/>
      <c r="M180" s="108"/>
      <c r="N180" s="342"/>
    </row>
    <row r="181" spans="1:14" ht="15" x14ac:dyDescent="0.2">
      <c r="A181" s="288">
        <f t="shared" si="26"/>
        <v>153</v>
      </c>
      <c r="B181" s="292"/>
      <c r="C181" s="293"/>
      <c r="D181" s="294" t="s">
        <v>28</v>
      </c>
      <c r="E181" s="289" t="s">
        <v>14</v>
      </c>
      <c r="F181" s="289"/>
      <c r="G181" s="290">
        <v>35</v>
      </c>
      <c r="H181" s="290">
        <v>600</v>
      </c>
      <c r="I181" s="290">
        <v>565</v>
      </c>
      <c r="J181" s="290" t="s">
        <v>15</v>
      </c>
      <c r="K181" s="289"/>
      <c r="L181" s="290"/>
      <c r="M181" s="291"/>
      <c r="N181" s="295" t="s">
        <v>29</v>
      </c>
    </row>
    <row r="182" spans="1:14" ht="14.45" customHeight="1" x14ac:dyDescent="0.2">
      <c r="A182" s="324"/>
      <c r="B182" s="325"/>
      <c r="C182" s="325"/>
      <c r="D182" s="325"/>
      <c r="E182" s="325"/>
      <c r="F182" s="325"/>
      <c r="G182" s="325"/>
      <c r="H182" s="325"/>
      <c r="I182" s="325"/>
      <c r="J182" s="325"/>
      <c r="K182" s="325"/>
      <c r="L182" s="325"/>
      <c r="M182" s="325"/>
      <c r="N182" s="326"/>
    </row>
    <row r="183" spans="1:14" x14ac:dyDescent="0.2">
      <c r="A183" s="103">
        <f>A181+1</f>
        <v>154</v>
      </c>
      <c r="B183" s="103"/>
      <c r="C183" s="221" t="s">
        <v>264</v>
      </c>
      <c r="D183" s="221"/>
      <c r="E183" s="106"/>
      <c r="F183" s="106"/>
      <c r="G183" s="107"/>
      <c r="H183" s="107"/>
      <c r="I183" s="107"/>
      <c r="J183" s="107"/>
      <c r="K183" s="106"/>
      <c r="L183" s="107"/>
      <c r="M183" s="108"/>
      <c r="N183" s="108"/>
    </row>
    <row r="184" spans="1:14" x14ac:dyDescent="0.2">
      <c r="A184" s="103">
        <f t="shared" si="26"/>
        <v>155</v>
      </c>
      <c r="B184" s="103"/>
      <c r="C184" s="112"/>
      <c r="D184" s="121"/>
      <c r="E184" s="122"/>
      <c r="F184" s="122"/>
      <c r="G184" s="123"/>
      <c r="H184" s="123"/>
      <c r="I184" s="123"/>
      <c r="J184" s="123"/>
      <c r="K184" s="122"/>
      <c r="L184" s="123"/>
      <c r="M184" s="113"/>
      <c r="N184" s="113"/>
    </row>
    <row r="185" spans="1:14" x14ac:dyDescent="0.2">
      <c r="A185" s="103">
        <f t="shared" si="26"/>
        <v>156</v>
      </c>
      <c r="B185" s="103"/>
      <c r="C185" s="163" t="s">
        <v>265</v>
      </c>
      <c r="D185" s="164"/>
      <c r="E185" s="106" t="s">
        <v>14</v>
      </c>
      <c r="F185" s="106"/>
      <c r="G185" s="107">
        <f>$H$16+1</f>
        <v>7</v>
      </c>
      <c r="H185" s="107">
        <f>I185+$H$16</f>
        <v>9</v>
      </c>
      <c r="I185" s="107">
        <v>3</v>
      </c>
      <c r="J185" s="107" t="s">
        <v>18</v>
      </c>
      <c r="K185" s="106"/>
      <c r="L185" s="107"/>
      <c r="M185" s="108"/>
      <c r="N185" s="164" t="s">
        <v>266</v>
      </c>
    </row>
    <row r="186" spans="1:14" ht="15" x14ac:dyDescent="0.2">
      <c r="A186" s="103">
        <f t="shared" si="26"/>
        <v>157</v>
      </c>
      <c r="B186" s="103"/>
      <c r="C186" s="112"/>
      <c r="D186" s="165" t="s">
        <v>267</v>
      </c>
      <c r="E186" s="110">
        <v>99</v>
      </c>
      <c r="F186" s="110"/>
      <c r="G186" s="107">
        <f>H185+1</f>
        <v>10</v>
      </c>
      <c r="H186" s="107">
        <f>H185+I186</f>
        <v>12</v>
      </c>
      <c r="I186" s="111">
        <v>3</v>
      </c>
      <c r="J186" s="111" t="s">
        <v>18</v>
      </c>
      <c r="K186" s="124"/>
      <c r="L186" s="107"/>
      <c r="M186" s="108"/>
      <c r="N186" s="108" t="s">
        <v>268</v>
      </c>
    </row>
    <row r="187" spans="1:14" ht="15" x14ac:dyDescent="0.2">
      <c r="A187" s="103">
        <f t="shared" si="26"/>
        <v>158</v>
      </c>
      <c r="B187" s="103"/>
      <c r="C187" s="112"/>
      <c r="D187" s="112" t="s">
        <v>269</v>
      </c>
      <c r="E187" s="182">
        <v>101</v>
      </c>
      <c r="F187" s="182"/>
      <c r="G187" s="107">
        <f t="shared" ref="G187:G203" si="31">H186+1</f>
        <v>13</v>
      </c>
      <c r="H187" s="107">
        <f t="shared" ref="H187:H203" si="32">H186+I187</f>
        <v>72</v>
      </c>
      <c r="I187" s="111">
        <v>60</v>
      </c>
      <c r="J187" s="111" t="s">
        <v>15</v>
      </c>
      <c r="K187" s="124"/>
      <c r="L187" s="111"/>
      <c r="M187" s="108"/>
      <c r="N187" s="108"/>
    </row>
    <row r="188" spans="1:14" ht="38.25" x14ac:dyDescent="0.2">
      <c r="A188" s="2">
        <f t="shared" si="26"/>
        <v>159</v>
      </c>
      <c r="B188" s="2"/>
      <c r="C188" s="10"/>
      <c r="D188" s="10" t="s">
        <v>270</v>
      </c>
      <c r="E188" s="153">
        <v>102</v>
      </c>
      <c r="F188" s="153"/>
      <c r="G188" s="28">
        <f t="shared" si="31"/>
        <v>73</v>
      </c>
      <c r="H188" s="28">
        <f t="shared" si="32"/>
        <v>86</v>
      </c>
      <c r="I188" s="18">
        <v>14</v>
      </c>
      <c r="J188" s="18" t="s">
        <v>15</v>
      </c>
      <c r="K188" s="56"/>
      <c r="L188" s="18"/>
      <c r="M188" s="3"/>
      <c r="N188" s="3" t="s">
        <v>271</v>
      </c>
    </row>
    <row r="189" spans="1:14" ht="15" x14ac:dyDescent="0.2">
      <c r="A189" s="103">
        <f t="shared" si="26"/>
        <v>160</v>
      </c>
      <c r="B189" s="103"/>
      <c r="C189" s="112"/>
      <c r="D189" s="112" t="s">
        <v>272</v>
      </c>
      <c r="E189" s="182">
        <v>103</v>
      </c>
      <c r="F189" s="182"/>
      <c r="G189" s="107">
        <f t="shared" si="31"/>
        <v>87</v>
      </c>
      <c r="H189" s="107">
        <f>H188+I189</f>
        <v>206</v>
      </c>
      <c r="I189" s="111">
        <v>120</v>
      </c>
      <c r="J189" s="111" t="s">
        <v>15</v>
      </c>
      <c r="K189" s="124"/>
      <c r="L189" s="111"/>
      <c r="M189" s="108"/>
      <c r="N189" s="108" t="s">
        <v>273</v>
      </c>
    </row>
    <row r="190" spans="1:14" ht="63.75" x14ac:dyDescent="0.2">
      <c r="A190" s="103">
        <f t="shared" ref="A190:A246" si="33">A189+1</f>
        <v>161</v>
      </c>
      <c r="B190" s="103"/>
      <c r="C190" s="112"/>
      <c r="D190" s="112" t="s">
        <v>274</v>
      </c>
      <c r="E190" s="182">
        <v>104</v>
      </c>
      <c r="F190" s="182"/>
      <c r="G190" s="107">
        <f t="shared" si="31"/>
        <v>207</v>
      </c>
      <c r="H190" s="107">
        <f t="shared" si="32"/>
        <v>214</v>
      </c>
      <c r="I190" s="111">
        <v>8</v>
      </c>
      <c r="J190" s="111" t="s">
        <v>15</v>
      </c>
      <c r="K190" s="124"/>
      <c r="L190" s="111"/>
      <c r="M190" s="108"/>
      <c r="N190" s="108" t="s">
        <v>275</v>
      </c>
    </row>
    <row r="191" spans="1:14" ht="15" x14ac:dyDescent="0.2">
      <c r="A191" s="103">
        <f t="shared" si="33"/>
        <v>162</v>
      </c>
      <c r="B191" s="103"/>
      <c r="C191" s="112"/>
      <c r="D191" s="112" t="s">
        <v>276</v>
      </c>
      <c r="E191" s="182">
        <v>105</v>
      </c>
      <c r="F191" s="182"/>
      <c r="G191" s="107">
        <f t="shared" si="31"/>
        <v>215</v>
      </c>
      <c r="H191" s="107">
        <f t="shared" si="32"/>
        <v>217</v>
      </c>
      <c r="I191" s="111">
        <v>3</v>
      </c>
      <c r="J191" s="111" t="s">
        <v>15</v>
      </c>
      <c r="K191" s="124"/>
      <c r="L191" s="111"/>
      <c r="M191" s="108"/>
      <c r="N191" s="108"/>
    </row>
    <row r="192" spans="1:14" x14ac:dyDescent="0.2">
      <c r="A192" s="111">
        <f t="shared" si="33"/>
        <v>163</v>
      </c>
      <c r="B192" s="111"/>
      <c r="C192" s="112"/>
      <c r="D192" s="112" t="s">
        <v>277</v>
      </c>
      <c r="E192" s="111">
        <v>106</v>
      </c>
      <c r="F192" s="111"/>
      <c r="G192" s="111">
        <f t="shared" si="31"/>
        <v>218</v>
      </c>
      <c r="H192" s="111">
        <f t="shared" si="32"/>
        <v>219</v>
      </c>
      <c r="I192" s="111">
        <v>2</v>
      </c>
      <c r="J192" s="111" t="s">
        <v>18</v>
      </c>
      <c r="K192" s="124"/>
      <c r="L192" s="111"/>
      <c r="M192" s="112"/>
      <c r="N192" s="112" t="s">
        <v>278</v>
      </c>
    </row>
    <row r="193" spans="1:14" ht="15" x14ac:dyDescent="0.2">
      <c r="A193" s="103">
        <f t="shared" si="33"/>
        <v>164</v>
      </c>
      <c r="B193" s="103"/>
      <c r="C193" s="112"/>
      <c r="D193" s="112" t="s">
        <v>279</v>
      </c>
      <c r="E193" s="182">
        <v>107</v>
      </c>
      <c r="F193" s="182"/>
      <c r="G193" s="107">
        <f t="shared" si="31"/>
        <v>220</v>
      </c>
      <c r="H193" s="107">
        <f t="shared" si="32"/>
        <v>223</v>
      </c>
      <c r="I193" s="111">
        <v>4</v>
      </c>
      <c r="J193" s="111" t="s">
        <v>18</v>
      </c>
      <c r="K193" s="124"/>
      <c r="L193" s="111"/>
      <c r="M193" s="108"/>
      <c r="N193" s="108"/>
    </row>
    <row r="194" spans="1:14" ht="15" x14ac:dyDescent="0.2">
      <c r="A194" s="103">
        <f t="shared" si="33"/>
        <v>165</v>
      </c>
      <c r="B194" s="103"/>
      <c r="C194" s="112"/>
      <c r="D194" s="112" t="s">
        <v>280</v>
      </c>
      <c r="E194" s="182">
        <v>112</v>
      </c>
      <c r="F194" s="182"/>
      <c r="G194" s="107">
        <f t="shared" si="31"/>
        <v>224</v>
      </c>
      <c r="H194" s="107">
        <f t="shared" si="32"/>
        <v>229</v>
      </c>
      <c r="I194" s="111">
        <v>6</v>
      </c>
      <c r="J194" s="111" t="s">
        <v>15</v>
      </c>
      <c r="K194" s="124"/>
      <c r="L194" s="111"/>
      <c r="M194" s="108"/>
      <c r="N194" s="108"/>
    </row>
    <row r="195" spans="1:14" x14ac:dyDescent="0.2">
      <c r="A195" s="103">
        <f t="shared" si="33"/>
        <v>166</v>
      </c>
      <c r="B195" s="103"/>
      <c r="C195" s="112"/>
      <c r="D195" s="112" t="s">
        <v>281</v>
      </c>
      <c r="E195" s="170">
        <v>108</v>
      </c>
      <c r="F195" s="170"/>
      <c r="G195" s="107">
        <f t="shared" si="31"/>
        <v>230</v>
      </c>
      <c r="H195" s="107">
        <f t="shared" si="32"/>
        <v>235</v>
      </c>
      <c r="I195" s="111">
        <v>6</v>
      </c>
      <c r="J195" s="111" t="s">
        <v>15</v>
      </c>
      <c r="K195" s="124"/>
      <c r="L195" s="111"/>
      <c r="M195" s="108"/>
      <c r="N195" s="108"/>
    </row>
    <row r="196" spans="1:14" ht="38.25" x14ac:dyDescent="0.2">
      <c r="A196" s="103">
        <f t="shared" si="33"/>
        <v>167</v>
      </c>
      <c r="B196" s="103"/>
      <c r="C196" s="112"/>
      <c r="D196" s="112" t="s">
        <v>282</v>
      </c>
      <c r="E196" s="170">
        <v>113</v>
      </c>
      <c r="F196" s="170"/>
      <c r="G196" s="107">
        <f t="shared" si="31"/>
        <v>236</v>
      </c>
      <c r="H196" s="107">
        <f t="shared" si="32"/>
        <v>250</v>
      </c>
      <c r="I196" s="111">
        <v>15</v>
      </c>
      <c r="J196" s="111" t="s">
        <v>18</v>
      </c>
      <c r="K196" s="124"/>
      <c r="L196" s="124" t="s">
        <v>283</v>
      </c>
      <c r="M196" s="108"/>
      <c r="N196" s="108" t="s">
        <v>284</v>
      </c>
    </row>
    <row r="197" spans="1:14" ht="38.25" x14ac:dyDescent="0.2">
      <c r="A197" s="103">
        <f t="shared" si="33"/>
        <v>168</v>
      </c>
      <c r="B197" s="103"/>
      <c r="C197" s="112"/>
      <c r="D197" s="112" t="s">
        <v>285</v>
      </c>
      <c r="E197" s="170" t="s">
        <v>286</v>
      </c>
      <c r="F197" s="170"/>
      <c r="G197" s="107">
        <f t="shared" si="31"/>
        <v>251</v>
      </c>
      <c r="H197" s="107">
        <f t="shared" si="32"/>
        <v>271</v>
      </c>
      <c r="I197" s="111">
        <v>21</v>
      </c>
      <c r="J197" s="111" t="s">
        <v>18</v>
      </c>
      <c r="K197" s="124"/>
      <c r="L197" s="124" t="s">
        <v>287</v>
      </c>
      <c r="M197" s="108"/>
      <c r="N197" s="108" t="s">
        <v>288</v>
      </c>
    </row>
    <row r="198" spans="1:14" ht="38.25" x14ac:dyDescent="0.2">
      <c r="A198" s="103">
        <f t="shared" si="33"/>
        <v>169</v>
      </c>
      <c r="B198" s="103"/>
      <c r="C198" s="112"/>
      <c r="D198" s="112" t="s">
        <v>289</v>
      </c>
      <c r="E198" s="170">
        <v>109</v>
      </c>
      <c r="F198" s="170"/>
      <c r="G198" s="107">
        <f t="shared" si="31"/>
        <v>272</v>
      </c>
      <c r="H198" s="107">
        <f t="shared" si="32"/>
        <v>286</v>
      </c>
      <c r="I198" s="111">
        <v>15</v>
      </c>
      <c r="J198" s="111" t="s">
        <v>18</v>
      </c>
      <c r="K198" s="124"/>
      <c r="L198" s="124" t="s">
        <v>283</v>
      </c>
      <c r="M198" s="108"/>
      <c r="N198" s="108" t="s">
        <v>290</v>
      </c>
    </row>
    <row r="199" spans="1:14" ht="38.25" x14ac:dyDescent="0.2">
      <c r="A199" s="103">
        <f t="shared" si="33"/>
        <v>170</v>
      </c>
      <c r="B199" s="103"/>
      <c r="C199" s="112"/>
      <c r="D199" s="112" t="s">
        <v>291</v>
      </c>
      <c r="E199" s="170" t="s">
        <v>292</v>
      </c>
      <c r="F199" s="170"/>
      <c r="G199" s="107">
        <f t="shared" si="31"/>
        <v>287</v>
      </c>
      <c r="H199" s="107">
        <f t="shared" si="32"/>
        <v>307</v>
      </c>
      <c r="I199" s="111">
        <v>21</v>
      </c>
      <c r="J199" s="111" t="s">
        <v>18</v>
      </c>
      <c r="K199" s="124"/>
      <c r="L199" s="124" t="s">
        <v>287</v>
      </c>
      <c r="M199" s="108"/>
      <c r="N199" s="108" t="s">
        <v>293</v>
      </c>
    </row>
    <row r="200" spans="1:14" x14ac:dyDescent="0.2">
      <c r="A200" s="103">
        <f t="shared" si="33"/>
        <v>171</v>
      </c>
      <c r="B200" s="103"/>
      <c r="C200" s="112"/>
      <c r="D200" s="112" t="s">
        <v>294</v>
      </c>
      <c r="E200" s="170">
        <v>110</v>
      </c>
      <c r="F200" s="170"/>
      <c r="G200" s="107">
        <f t="shared" si="31"/>
        <v>308</v>
      </c>
      <c r="H200" s="107">
        <f t="shared" si="32"/>
        <v>322</v>
      </c>
      <c r="I200" s="111">
        <v>15</v>
      </c>
      <c r="J200" s="111" t="s">
        <v>18</v>
      </c>
      <c r="K200" s="124"/>
      <c r="L200" s="111">
        <v>2</v>
      </c>
      <c r="M200" s="108"/>
      <c r="N200" s="108"/>
    </row>
    <row r="201" spans="1:14" x14ac:dyDescent="0.2">
      <c r="A201" s="103">
        <f t="shared" si="33"/>
        <v>172</v>
      </c>
      <c r="B201" s="103"/>
      <c r="C201" s="112"/>
      <c r="D201" s="112" t="s">
        <v>295</v>
      </c>
      <c r="E201" s="170">
        <v>114</v>
      </c>
      <c r="F201" s="170"/>
      <c r="G201" s="107">
        <f t="shared" si="31"/>
        <v>323</v>
      </c>
      <c r="H201" s="107">
        <f t="shared" si="32"/>
        <v>337</v>
      </c>
      <c r="I201" s="111">
        <v>15</v>
      </c>
      <c r="J201" s="111" t="s">
        <v>18</v>
      </c>
      <c r="K201" s="124"/>
      <c r="L201" s="111">
        <v>2</v>
      </c>
      <c r="M201" s="108"/>
      <c r="N201" s="108"/>
    </row>
    <row r="202" spans="1:14" x14ac:dyDescent="0.2">
      <c r="A202" s="103">
        <f t="shared" si="33"/>
        <v>173</v>
      </c>
      <c r="B202" s="103"/>
      <c r="C202" s="112"/>
      <c r="D202" s="112" t="s">
        <v>296</v>
      </c>
      <c r="E202" s="170">
        <v>115</v>
      </c>
      <c r="F202" s="170"/>
      <c r="G202" s="107">
        <f t="shared" si="31"/>
        <v>338</v>
      </c>
      <c r="H202" s="107">
        <f t="shared" si="32"/>
        <v>352</v>
      </c>
      <c r="I202" s="111">
        <v>15</v>
      </c>
      <c r="J202" s="111" t="s">
        <v>18</v>
      </c>
      <c r="K202" s="124"/>
      <c r="L202" s="111">
        <v>2</v>
      </c>
      <c r="M202" s="108"/>
      <c r="N202" s="108"/>
    </row>
    <row r="203" spans="1:14" x14ac:dyDescent="0.2">
      <c r="A203" s="103">
        <f>A202+1</f>
        <v>174</v>
      </c>
      <c r="B203" s="103"/>
      <c r="C203" s="112"/>
      <c r="D203" s="112" t="s">
        <v>297</v>
      </c>
      <c r="E203" s="170">
        <v>116</v>
      </c>
      <c r="F203" s="170"/>
      <c r="G203" s="107">
        <f t="shared" si="31"/>
        <v>353</v>
      </c>
      <c r="H203" s="107">
        <f t="shared" si="32"/>
        <v>367</v>
      </c>
      <c r="I203" s="111">
        <v>15</v>
      </c>
      <c r="J203" s="111" t="s">
        <v>18</v>
      </c>
      <c r="K203" s="124"/>
      <c r="L203" s="111">
        <v>2</v>
      </c>
      <c r="M203" s="108"/>
      <c r="N203" s="108"/>
    </row>
    <row r="204" spans="1:14" x14ac:dyDescent="0.2">
      <c r="A204" s="103">
        <f>A203+1</f>
        <v>175</v>
      </c>
      <c r="B204" s="103"/>
      <c r="C204" s="112"/>
      <c r="D204" s="112" t="s">
        <v>298</v>
      </c>
      <c r="E204" s="170" t="s">
        <v>299</v>
      </c>
      <c r="F204" s="170"/>
      <c r="G204" s="107">
        <f>H203+1</f>
        <v>368</v>
      </c>
      <c r="H204" s="107">
        <f>H203+I204</f>
        <v>382</v>
      </c>
      <c r="I204" s="111">
        <v>15</v>
      </c>
      <c r="J204" s="111" t="s">
        <v>18</v>
      </c>
      <c r="K204" s="124"/>
      <c r="L204" s="111">
        <v>2</v>
      </c>
      <c r="M204" s="108"/>
      <c r="N204" s="108"/>
    </row>
    <row r="205" spans="1:14" ht="51" x14ac:dyDescent="0.2">
      <c r="A205" s="103">
        <f t="shared" si="33"/>
        <v>176</v>
      </c>
      <c r="B205" s="103"/>
      <c r="C205" s="112"/>
      <c r="D205" s="112" t="s">
        <v>300</v>
      </c>
      <c r="E205" s="170" t="s">
        <v>301</v>
      </c>
      <c r="F205" s="170"/>
      <c r="G205" s="107">
        <f t="shared" ref="G205:G212" si="34">H204+1</f>
        <v>383</v>
      </c>
      <c r="H205" s="107">
        <f>H204+I205</f>
        <v>383</v>
      </c>
      <c r="I205" s="111">
        <v>1</v>
      </c>
      <c r="J205" s="111" t="s">
        <v>18</v>
      </c>
      <c r="K205" s="124"/>
      <c r="L205" s="111"/>
      <c r="M205" s="108"/>
      <c r="N205" s="108" t="s">
        <v>302</v>
      </c>
    </row>
    <row r="206" spans="1:14" ht="25.5" x14ac:dyDescent="0.2">
      <c r="A206" s="103">
        <f t="shared" si="33"/>
        <v>177</v>
      </c>
      <c r="B206" s="103"/>
      <c r="C206" s="112"/>
      <c r="D206" s="112" t="s">
        <v>303</v>
      </c>
      <c r="E206" s="106" t="s">
        <v>304</v>
      </c>
      <c r="F206" s="106"/>
      <c r="G206" s="107">
        <f t="shared" si="34"/>
        <v>384</v>
      </c>
      <c r="H206" s="107">
        <f t="shared" ref="H206:H211" si="35">H205+I206</f>
        <v>398</v>
      </c>
      <c r="I206" s="111">
        <v>15</v>
      </c>
      <c r="J206" s="111" t="s">
        <v>15</v>
      </c>
      <c r="K206" s="124"/>
      <c r="L206" s="111"/>
      <c r="M206" s="108"/>
      <c r="N206" s="108" t="s">
        <v>305</v>
      </c>
    </row>
    <row r="207" spans="1:14" ht="25.5" x14ac:dyDescent="0.2">
      <c r="A207" s="103">
        <f t="shared" si="33"/>
        <v>178</v>
      </c>
      <c r="B207" s="103"/>
      <c r="C207" s="112"/>
      <c r="D207" s="112" t="s">
        <v>306</v>
      </c>
      <c r="E207" s="106" t="s">
        <v>307</v>
      </c>
      <c r="F207" s="106"/>
      <c r="G207" s="107">
        <f t="shared" si="34"/>
        <v>399</v>
      </c>
      <c r="H207" s="107">
        <f t="shared" si="35"/>
        <v>404</v>
      </c>
      <c r="I207" s="111">
        <v>6</v>
      </c>
      <c r="J207" s="111" t="s">
        <v>18</v>
      </c>
      <c r="K207" s="124"/>
      <c r="L207" s="111"/>
      <c r="M207" s="108"/>
      <c r="N207" s="108" t="s">
        <v>308</v>
      </c>
    </row>
    <row r="208" spans="1:14" ht="51" x14ac:dyDescent="0.2">
      <c r="A208" s="103">
        <f t="shared" si="33"/>
        <v>179</v>
      </c>
      <c r="B208" s="103"/>
      <c r="C208" s="10"/>
      <c r="D208" s="10" t="s">
        <v>309</v>
      </c>
      <c r="E208" s="145" t="s">
        <v>310</v>
      </c>
      <c r="F208" s="145"/>
      <c r="G208" s="107">
        <f t="shared" si="34"/>
        <v>405</v>
      </c>
      <c r="H208" s="107">
        <f t="shared" si="35"/>
        <v>418</v>
      </c>
      <c r="I208" s="18">
        <v>14</v>
      </c>
      <c r="J208" s="18" t="s">
        <v>15</v>
      </c>
      <c r="K208" s="56"/>
      <c r="L208" s="18"/>
      <c r="M208" s="34"/>
      <c r="N208" s="3" t="s">
        <v>311</v>
      </c>
    </row>
    <row r="209" spans="1:101" s="143" customFormat="1" x14ac:dyDescent="0.2">
      <c r="A209" s="103">
        <f t="shared" si="33"/>
        <v>180</v>
      </c>
      <c r="B209" s="103"/>
      <c r="C209" s="49"/>
      <c r="D209" s="49" t="s">
        <v>312</v>
      </c>
      <c r="E209" s="145" t="s">
        <v>313</v>
      </c>
      <c r="F209" s="145"/>
      <c r="G209" s="146">
        <f t="shared" si="34"/>
        <v>419</v>
      </c>
      <c r="H209" s="146">
        <f t="shared" si="35"/>
        <v>433</v>
      </c>
      <c r="I209" s="147">
        <v>15</v>
      </c>
      <c r="J209" s="147" t="s">
        <v>18</v>
      </c>
      <c r="K209" s="264"/>
      <c r="L209" s="147">
        <v>2</v>
      </c>
      <c r="M209" s="48"/>
      <c r="N209" s="48"/>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row>
    <row r="210" spans="1:101" s="117" customFormat="1" ht="51" x14ac:dyDescent="0.2">
      <c r="A210" s="103">
        <f t="shared" si="33"/>
        <v>181</v>
      </c>
      <c r="B210" s="103"/>
      <c r="C210" s="112"/>
      <c r="D210" s="112" t="s">
        <v>314</v>
      </c>
      <c r="E210" s="106" t="s">
        <v>315</v>
      </c>
      <c r="F210" s="106"/>
      <c r="G210" s="106">
        <f t="shared" si="34"/>
        <v>434</v>
      </c>
      <c r="H210" s="146">
        <f t="shared" si="35"/>
        <v>481</v>
      </c>
      <c r="I210" s="218">
        <v>48</v>
      </c>
      <c r="J210" s="111" t="s">
        <v>15</v>
      </c>
      <c r="K210" s="124"/>
      <c r="L210" s="111"/>
      <c r="M210" s="108"/>
      <c r="N210" s="108" t="s">
        <v>316</v>
      </c>
    </row>
    <row r="211" spans="1:101" s="117" customFormat="1" ht="25.5" x14ac:dyDescent="0.2">
      <c r="A211" s="103">
        <f t="shared" si="33"/>
        <v>182</v>
      </c>
      <c r="B211" s="103"/>
      <c r="C211" s="112"/>
      <c r="D211" s="112" t="s">
        <v>317</v>
      </c>
      <c r="E211" s="106" t="s">
        <v>318</v>
      </c>
      <c r="F211" s="106"/>
      <c r="G211" s="106">
        <f t="shared" si="34"/>
        <v>482</v>
      </c>
      <c r="H211" s="146">
        <f t="shared" si="35"/>
        <v>488</v>
      </c>
      <c r="I211" s="218">
        <v>7</v>
      </c>
      <c r="J211" s="111" t="s">
        <v>18</v>
      </c>
      <c r="K211" s="124"/>
      <c r="L211" s="111"/>
      <c r="M211" s="108"/>
      <c r="N211" s="108" t="s">
        <v>319</v>
      </c>
    </row>
    <row r="212" spans="1:101" s="117" customFormat="1" ht="38.25" x14ac:dyDescent="0.2">
      <c r="A212" s="103">
        <f t="shared" si="33"/>
        <v>183</v>
      </c>
      <c r="B212" s="103"/>
      <c r="C212" s="112"/>
      <c r="D212" s="112" t="s">
        <v>320</v>
      </c>
      <c r="E212" s="106" t="s">
        <v>321</v>
      </c>
      <c r="F212" s="106"/>
      <c r="G212" s="106">
        <f t="shared" si="34"/>
        <v>489</v>
      </c>
      <c r="H212" s="28">
        <f t="shared" ref="H212" si="36">H211+I212</f>
        <v>489</v>
      </c>
      <c r="I212" s="218">
        <v>1</v>
      </c>
      <c r="J212" s="111" t="s">
        <v>15</v>
      </c>
      <c r="K212" s="124"/>
      <c r="L212" s="111"/>
      <c r="M212" s="108"/>
      <c r="N212" s="108" t="s">
        <v>322</v>
      </c>
    </row>
    <row r="213" spans="1:101" s="117" customFormat="1" x14ac:dyDescent="0.2">
      <c r="A213" s="103">
        <f t="shared" si="33"/>
        <v>184</v>
      </c>
      <c r="B213" s="103"/>
      <c r="C213" s="112"/>
      <c r="D213" s="112" t="s">
        <v>323</v>
      </c>
      <c r="E213" s="106" t="s">
        <v>324</v>
      </c>
      <c r="F213" s="106"/>
      <c r="G213" s="106">
        <f t="shared" ref="G213:G214" si="37">H212+1</f>
        <v>490</v>
      </c>
      <c r="H213" s="28">
        <f t="shared" ref="H213:H214" si="38">H212+I213</f>
        <v>503</v>
      </c>
      <c r="I213" s="218">
        <v>14</v>
      </c>
      <c r="J213" s="111" t="s">
        <v>18</v>
      </c>
      <c r="K213" s="124"/>
      <c r="L213" s="111"/>
      <c r="M213" s="108"/>
      <c r="N213" s="108" t="s">
        <v>325</v>
      </c>
    </row>
    <row r="214" spans="1:101" s="117" customFormat="1" ht="25.5" x14ac:dyDescent="0.2">
      <c r="A214" s="103">
        <f t="shared" si="33"/>
        <v>185</v>
      </c>
      <c r="B214" s="103"/>
      <c r="C214" s="112"/>
      <c r="D214" s="112" t="s">
        <v>326</v>
      </c>
      <c r="E214" s="106" t="s">
        <v>327</v>
      </c>
      <c r="F214" s="106"/>
      <c r="G214" s="106">
        <f t="shared" si="37"/>
        <v>504</v>
      </c>
      <c r="H214" s="28">
        <f t="shared" si="38"/>
        <v>513</v>
      </c>
      <c r="I214" s="218">
        <v>10</v>
      </c>
      <c r="J214" s="111" t="s">
        <v>15</v>
      </c>
      <c r="K214" s="124"/>
      <c r="L214" s="111"/>
      <c r="M214" s="108"/>
      <c r="N214" s="108" t="s">
        <v>328</v>
      </c>
    </row>
    <row r="215" spans="1:101" s="117" customFormat="1" x14ac:dyDescent="0.2">
      <c r="A215" s="144">
        <f t="shared" si="33"/>
        <v>186</v>
      </c>
      <c r="B215" s="144"/>
      <c r="C215" s="49"/>
      <c r="D215" s="49" t="s">
        <v>329</v>
      </c>
      <c r="E215" s="145" t="s">
        <v>330</v>
      </c>
      <c r="F215" s="145"/>
      <c r="G215" s="145">
        <f t="shared" ref="G215" si="39">H214+1</f>
        <v>514</v>
      </c>
      <c r="H215" s="146">
        <f t="shared" ref="H215" si="40">H214+I215</f>
        <v>543</v>
      </c>
      <c r="I215" s="229">
        <v>30</v>
      </c>
      <c r="J215" s="147" t="s">
        <v>15</v>
      </c>
      <c r="K215" s="264"/>
      <c r="L215" s="147"/>
      <c r="M215" s="48"/>
      <c r="N215" s="48" t="s">
        <v>331</v>
      </c>
    </row>
    <row r="216" spans="1:101" s="117" customFormat="1" ht="25.5" x14ac:dyDescent="0.2">
      <c r="A216" s="144">
        <f t="shared" si="33"/>
        <v>187</v>
      </c>
      <c r="B216" s="144"/>
      <c r="C216" s="49"/>
      <c r="D216" s="49" t="s">
        <v>332</v>
      </c>
      <c r="E216" s="145" t="s">
        <v>333</v>
      </c>
      <c r="F216" s="145"/>
      <c r="G216" s="145">
        <f t="shared" ref="G216" si="41">H215+1</f>
        <v>544</v>
      </c>
      <c r="H216" s="146">
        <f t="shared" ref="H216" si="42">H215+I216</f>
        <v>573</v>
      </c>
      <c r="I216" s="229">
        <v>30</v>
      </c>
      <c r="J216" s="147" t="s">
        <v>15</v>
      </c>
      <c r="K216" s="264"/>
      <c r="L216" s="147"/>
      <c r="M216" s="48"/>
      <c r="N216" s="48" t="s">
        <v>334</v>
      </c>
    </row>
    <row r="217" spans="1:101" s="279" customFormat="1" ht="25.5" x14ac:dyDescent="0.2">
      <c r="A217" s="249">
        <v>188</v>
      </c>
      <c r="B217" s="249" t="s">
        <v>1829</v>
      </c>
      <c r="C217" s="232" t="s">
        <v>1893</v>
      </c>
      <c r="D217" s="232" t="s">
        <v>1830</v>
      </c>
      <c r="E217" s="283" t="s">
        <v>1833</v>
      </c>
      <c r="F217" s="283" t="s">
        <v>1831</v>
      </c>
      <c r="G217" s="284">
        <f>H216+1</f>
        <v>574</v>
      </c>
      <c r="H217" s="305">
        <f>H216+I217</f>
        <v>574</v>
      </c>
      <c r="I217" s="306">
        <v>1</v>
      </c>
      <c r="J217" s="303" t="s">
        <v>18</v>
      </c>
      <c r="K217" s="304" t="s">
        <v>1769</v>
      </c>
      <c r="L217" s="303"/>
      <c r="M217" s="186"/>
      <c r="N217" s="186" t="s">
        <v>1832</v>
      </c>
      <c r="O217" s="117"/>
      <c r="P217" s="117"/>
      <c r="Q217" s="117"/>
      <c r="R217" s="117"/>
      <c r="S217" s="117"/>
      <c r="T217" s="117"/>
      <c r="U217" s="117"/>
      <c r="V217" s="117"/>
      <c r="W217" s="117"/>
      <c r="X217" s="117"/>
      <c r="Y217" s="117"/>
      <c r="Z217" s="117"/>
      <c r="AA217" s="117"/>
      <c r="AB217" s="117"/>
      <c r="AC217" s="117"/>
      <c r="AD217" s="117"/>
      <c r="AE217" s="117"/>
      <c r="AF217" s="117"/>
      <c r="AG217" s="117"/>
      <c r="AH217" s="117"/>
      <c r="AI217" s="117"/>
      <c r="AJ217" s="117"/>
      <c r="AK217" s="117"/>
      <c r="AL217" s="117"/>
      <c r="AM217" s="117"/>
      <c r="AN217" s="117"/>
      <c r="AO217" s="117"/>
      <c r="AP217" s="117"/>
      <c r="AQ217" s="117"/>
      <c r="AR217" s="117"/>
      <c r="AS217" s="117"/>
      <c r="AT217" s="117"/>
      <c r="AU217" s="117"/>
      <c r="AV217" s="117"/>
      <c r="AW217" s="117"/>
      <c r="AX217" s="117"/>
      <c r="AY217" s="117"/>
      <c r="AZ217" s="117"/>
      <c r="BA217" s="117"/>
      <c r="BB217" s="117"/>
      <c r="BC217" s="117"/>
      <c r="BD217" s="117"/>
      <c r="BE217" s="117"/>
      <c r="BF217" s="117"/>
      <c r="BG217" s="117"/>
      <c r="BH217" s="117"/>
      <c r="BI217" s="117"/>
      <c r="BJ217" s="117"/>
      <c r="BK217" s="117"/>
      <c r="BL217" s="117"/>
      <c r="BM217" s="117"/>
      <c r="BN217" s="117"/>
      <c r="BO217" s="117"/>
      <c r="BP217" s="117"/>
      <c r="BQ217" s="117"/>
      <c r="BR217" s="117"/>
      <c r="BS217" s="117"/>
      <c r="BT217" s="117"/>
      <c r="BU217" s="117"/>
      <c r="BV217" s="117"/>
      <c r="BW217" s="117"/>
      <c r="BX217" s="117"/>
      <c r="BY217" s="117"/>
      <c r="BZ217" s="117"/>
      <c r="CA217" s="117"/>
      <c r="CB217" s="117"/>
      <c r="CC217" s="117"/>
      <c r="CD217" s="117"/>
      <c r="CE217" s="117"/>
      <c r="CF217" s="117"/>
      <c r="CG217" s="117"/>
      <c r="CH217" s="117"/>
      <c r="CI217" s="117"/>
      <c r="CJ217" s="117"/>
      <c r="CK217" s="117"/>
      <c r="CL217" s="117"/>
      <c r="CM217" s="117"/>
      <c r="CN217" s="117"/>
      <c r="CO217" s="117"/>
      <c r="CP217" s="117"/>
      <c r="CQ217" s="117"/>
      <c r="CR217" s="117"/>
      <c r="CS217" s="117"/>
      <c r="CT217" s="117"/>
      <c r="CU217" s="117"/>
      <c r="CV217" s="117"/>
      <c r="CW217" s="117"/>
    </row>
    <row r="218" spans="1:101" s="279" customFormat="1" ht="76.5" x14ac:dyDescent="0.2">
      <c r="A218" s="307">
        <v>189</v>
      </c>
      <c r="B218" s="313" t="s">
        <v>2118</v>
      </c>
      <c r="C218" s="314" t="s">
        <v>1892</v>
      </c>
      <c r="D218" s="308" t="s">
        <v>1882</v>
      </c>
      <c r="E218" s="310" t="s">
        <v>1883</v>
      </c>
      <c r="F218" s="310"/>
      <c r="G218" s="311">
        <f>H217+1</f>
        <v>575</v>
      </c>
      <c r="H218" s="315">
        <f>H217+I218</f>
        <v>575</v>
      </c>
      <c r="I218" s="316">
        <v>1</v>
      </c>
      <c r="J218" s="317" t="s">
        <v>18</v>
      </c>
      <c r="K218" s="318"/>
      <c r="L218" s="317"/>
      <c r="M218" s="312"/>
      <c r="N218" s="312" t="s">
        <v>1884</v>
      </c>
      <c r="O218" s="117"/>
      <c r="P218" s="117"/>
      <c r="Q218" s="117"/>
      <c r="R218" s="117"/>
      <c r="S218" s="117"/>
      <c r="T218" s="117"/>
      <c r="U218" s="117"/>
      <c r="V218" s="117"/>
      <c r="W218" s="117"/>
      <c r="X218" s="117"/>
      <c r="Y218" s="117"/>
      <c r="Z218" s="117"/>
      <c r="AA218" s="117"/>
      <c r="AB218" s="117"/>
      <c r="AC218" s="117"/>
      <c r="AD218" s="117"/>
      <c r="AE218" s="117"/>
      <c r="AF218" s="117"/>
      <c r="AG218" s="117"/>
      <c r="AH218" s="117"/>
      <c r="AI218" s="117"/>
      <c r="AJ218" s="117"/>
      <c r="AK218" s="117"/>
      <c r="AL218" s="117"/>
      <c r="AM218" s="117"/>
      <c r="AN218" s="117"/>
      <c r="AO218" s="117"/>
      <c r="AP218" s="117"/>
      <c r="AQ218" s="117"/>
      <c r="AR218" s="117"/>
      <c r="AS218" s="117"/>
      <c r="AT218" s="117"/>
      <c r="AU218" s="117"/>
      <c r="AV218" s="117"/>
      <c r="AW218" s="117"/>
      <c r="AX218" s="117"/>
      <c r="AY218" s="117"/>
      <c r="AZ218" s="117"/>
      <c r="BA218" s="117"/>
      <c r="BB218" s="117"/>
      <c r="BC218" s="117"/>
      <c r="BD218" s="117"/>
      <c r="BE218" s="117"/>
      <c r="BF218" s="117"/>
      <c r="BG218" s="117"/>
      <c r="BH218" s="117"/>
      <c r="BI218" s="117"/>
      <c r="BJ218" s="117"/>
      <c r="BK218" s="117"/>
      <c r="BL218" s="117"/>
      <c r="BM218" s="117"/>
      <c r="BN218" s="117"/>
      <c r="BO218" s="117"/>
      <c r="BP218" s="117"/>
      <c r="BQ218" s="117"/>
      <c r="BR218" s="117"/>
      <c r="BS218" s="117"/>
      <c r="BT218" s="117"/>
      <c r="BU218" s="117"/>
      <c r="BV218" s="117"/>
      <c r="BW218" s="117"/>
      <c r="BX218" s="117"/>
      <c r="BY218" s="117"/>
      <c r="BZ218" s="117"/>
      <c r="CA218" s="117"/>
      <c r="CB218" s="117"/>
      <c r="CC218" s="117"/>
      <c r="CD218" s="117"/>
      <c r="CE218" s="117"/>
      <c r="CF218" s="117"/>
      <c r="CG218" s="117"/>
      <c r="CH218" s="117"/>
      <c r="CI218" s="117"/>
      <c r="CJ218" s="117"/>
      <c r="CK218" s="117"/>
      <c r="CL218" s="117"/>
      <c r="CM218" s="117"/>
      <c r="CN218" s="117"/>
      <c r="CO218" s="117"/>
      <c r="CP218" s="117"/>
      <c r="CQ218" s="117"/>
      <c r="CR218" s="117"/>
      <c r="CS218" s="117"/>
      <c r="CT218" s="117"/>
      <c r="CU218" s="117"/>
      <c r="CV218" s="117"/>
      <c r="CW218" s="117"/>
    </row>
    <row r="219" spans="1:101" s="279" customFormat="1" ht="25.5" x14ac:dyDescent="0.2">
      <c r="A219" s="249">
        <v>190</v>
      </c>
      <c r="B219" s="249" t="s">
        <v>2136</v>
      </c>
      <c r="C219" s="232" t="s">
        <v>2137</v>
      </c>
      <c r="D219" s="232" t="s">
        <v>1875</v>
      </c>
      <c r="E219" s="283" t="s">
        <v>1876</v>
      </c>
      <c r="F219" s="283"/>
      <c r="G219" s="284">
        <f>H218+1</f>
        <v>576</v>
      </c>
      <c r="H219" s="305">
        <f>H218+I219</f>
        <v>590</v>
      </c>
      <c r="I219" s="284">
        <v>15</v>
      </c>
      <c r="J219" s="284" t="s">
        <v>18</v>
      </c>
      <c r="K219" s="283"/>
      <c r="L219" s="284">
        <v>2</v>
      </c>
      <c r="M219" s="186"/>
      <c r="N219" s="285" t="s">
        <v>1877</v>
      </c>
      <c r="O219" s="117"/>
      <c r="P219" s="117"/>
      <c r="Q219" s="117"/>
      <c r="R219" s="117"/>
      <c r="S219" s="117"/>
      <c r="T219" s="117"/>
      <c r="U219" s="117"/>
      <c r="V219" s="117"/>
      <c r="W219" s="117"/>
      <c r="X219" s="117"/>
      <c r="Y219" s="117"/>
      <c r="Z219" s="117"/>
      <c r="AA219" s="117"/>
      <c r="AB219" s="117"/>
      <c r="AC219" s="117"/>
      <c r="AD219" s="117"/>
      <c r="AE219" s="117"/>
      <c r="AF219" s="117"/>
      <c r="AG219" s="117"/>
      <c r="AH219" s="117"/>
      <c r="AI219" s="117"/>
      <c r="AJ219" s="117"/>
      <c r="AK219" s="117"/>
      <c r="AL219" s="117"/>
      <c r="AM219" s="117"/>
      <c r="AN219" s="117"/>
      <c r="AO219" s="117"/>
      <c r="AP219" s="117"/>
      <c r="AQ219" s="117"/>
      <c r="AR219" s="117"/>
      <c r="AS219" s="117"/>
      <c r="AT219" s="117"/>
      <c r="AU219" s="117"/>
      <c r="AV219" s="117"/>
      <c r="AW219" s="117"/>
      <c r="AX219" s="117"/>
      <c r="AY219" s="117"/>
      <c r="AZ219" s="117"/>
      <c r="BA219" s="117"/>
      <c r="BB219" s="117"/>
      <c r="BC219" s="117"/>
      <c r="BD219" s="117"/>
      <c r="BE219" s="117"/>
      <c r="BF219" s="117"/>
      <c r="BG219" s="117"/>
      <c r="BH219" s="117"/>
      <c r="BI219" s="117"/>
      <c r="BJ219" s="117"/>
      <c r="BK219" s="117"/>
      <c r="BL219" s="117"/>
      <c r="BM219" s="117"/>
      <c r="BN219" s="117"/>
      <c r="BO219" s="117"/>
      <c r="BP219" s="117"/>
      <c r="BQ219" s="117"/>
      <c r="BR219" s="117"/>
      <c r="BS219" s="117"/>
      <c r="BT219" s="117"/>
      <c r="BU219" s="117"/>
      <c r="BV219" s="117"/>
      <c r="BW219" s="117"/>
      <c r="BX219" s="117"/>
      <c r="BY219" s="117"/>
      <c r="BZ219" s="117"/>
      <c r="CA219" s="117"/>
      <c r="CB219" s="117"/>
      <c r="CC219" s="117"/>
      <c r="CD219" s="117"/>
      <c r="CE219" s="117"/>
      <c r="CF219" s="117"/>
      <c r="CG219" s="117"/>
      <c r="CH219" s="117"/>
      <c r="CI219" s="117"/>
      <c r="CJ219" s="117"/>
      <c r="CK219" s="117"/>
      <c r="CL219" s="117"/>
      <c r="CM219" s="117"/>
      <c r="CN219" s="117"/>
      <c r="CO219" s="117"/>
      <c r="CP219" s="117"/>
      <c r="CQ219" s="117"/>
      <c r="CR219" s="117"/>
      <c r="CS219" s="117"/>
      <c r="CT219" s="117"/>
      <c r="CU219" s="117"/>
      <c r="CV219" s="117"/>
      <c r="CW219" s="117"/>
    </row>
    <row r="220" spans="1:101" ht="15" x14ac:dyDescent="0.2">
      <c r="A220" s="288">
        <v>191</v>
      </c>
      <c r="B220" s="292"/>
      <c r="C220" s="293"/>
      <c r="D220" s="294" t="s">
        <v>28</v>
      </c>
      <c r="E220" s="289" t="s">
        <v>14</v>
      </c>
      <c r="F220" s="289"/>
      <c r="G220" s="298">
        <f>H219+1</f>
        <v>591</v>
      </c>
      <c r="H220" s="290">
        <v>600</v>
      </c>
      <c r="I220" s="298">
        <f>H220-H219</f>
        <v>10</v>
      </c>
      <c r="J220" s="290" t="s">
        <v>15</v>
      </c>
      <c r="K220" s="289"/>
      <c r="L220" s="290"/>
      <c r="M220" s="291"/>
      <c r="N220" s="295" t="s">
        <v>29</v>
      </c>
    </row>
    <row r="221" spans="1:101" ht="14.45" customHeight="1" x14ac:dyDescent="0.2">
      <c r="A221" s="324"/>
      <c r="B221" s="325"/>
      <c r="C221" s="325"/>
      <c r="D221" s="325"/>
      <c r="E221" s="325"/>
      <c r="F221" s="325"/>
      <c r="G221" s="325"/>
      <c r="H221" s="325"/>
      <c r="I221" s="325"/>
      <c r="J221" s="325"/>
      <c r="K221" s="325"/>
      <c r="L221" s="325"/>
      <c r="M221" s="325"/>
      <c r="N221" s="326"/>
    </row>
    <row r="222" spans="1:101" x14ac:dyDescent="0.2">
      <c r="A222" s="144">
        <f>A220+1</f>
        <v>192</v>
      </c>
      <c r="B222" s="144"/>
      <c r="C222" s="163" t="s">
        <v>335</v>
      </c>
      <c r="D222" s="164"/>
      <c r="E222" s="106" t="s">
        <v>14</v>
      </c>
      <c r="F222" s="106"/>
      <c r="G222" s="107">
        <f>$H$16+1</f>
        <v>7</v>
      </c>
      <c r="H222" s="107">
        <f>I222+$H$16</f>
        <v>9</v>
      </c>
      <c r="I222" s="107">
        <v>3</v>
      </c>
      <c r="J222" s="107" t="s">
        <v>18</v>
      </c>
      <c r="K222" s="106"/>
      <c r="L222" s="107"/>
      <c r="M222" s="108"/>
      <c r="N222" s="164" t="s">
        <v>336</v>
      </c>
    </row>
    <row r="223" spans="1:101" ht="15" x14ac:dyDescent="0.2">
      <c r="A223" s="144">
        <f t="shared" si="33"/>
        <v>193</v>
      </c>
      <c r="B223" s="144"/>
      <c r="C223" s="112"/>
      <c r="D223" s="166" t="s">
        <v>267</v>
      </c>
      <c r="E223" s="110">
        <v>99</v>
      </c>
      <c r="F223" s="110"/>
      <c r="G223" s="107">
        <f>H222+1</f>
        <v>10</v>
      </c>
      <c r="H223" s="107">
        <f>H222+I223</f>
        <v>12</v>
      </c>
      <c r="I223" s="111">
        <v>3</v>
      </c>
      <c r="J223" s="111" t="s">
        <v>18</v>
      </c>
      <c r="K223" s="124"/>
      <c r="L223" s="107"/>
      <c r="M223" s="108"/>
      <c r="N223" s="108" t="s">
        <v>268</v>
      </c>
    </row>
    <row r="224" spans="1:101" ht="15" x14ac:dyDescent="0.2">
      <c r="A224" s="144">
        <f t="shared" si="33"/>
        <v>194</v>
      </c>
      <c r="B224" s="255"/>
      <c r="C224" s="13"/>
      <c r="D224" s="10" t="s">
        <v>337</v>
      </c>
      <c r="E224" s="55">
        <v>118</v>
      </c>
      <c r="F224" s="55"/>
      <c r="G224" s="28">
        <f t="shared" ref="G224:G229" si="43">H223+1</f>
        <v>13</v>
      </c>
      <c r="H224" s="28">
        <f t="shared" ref="H224:H229" si="44">H223+I224</f>
        <v>24</v>
      </c>
      <c r="I224" s="18">
        <v>12</v>
      </c>
      <c r="J224" s="18" t="s">
        <v>15</v>
      </c>
      <c r="K224" s="56"/>
      <c r="L224" s="18"/>
      <c r="M224" s="3"/>
      <c r="N224" s="3"/>
    </row>
    <row r="225" spans="1:101" ht="15" x14ac:dyDescent="0.2">
      <c r="A225" s="144">
        <f t="shared" si="33"/>
        <v>195</v>
      </c>
      <c r="B225" s="255"/>
      <c r="C225" s="104"/>
      <c r="D225" s="112" t="s">
        <v>338</v>
      </c>
      <c r="E225" s="110">
        <v>119</v>
      </c>
      <c r="F225" s="110"/>
      <c r="G225" s="107">
        <f t="shared" si="43"/>
        <v>25</v>
      </c>
      <c r="H225" s="107">
        <f t="shared" si="44"/>
        <v>34</v>
      </c>
      <c r="I225" s="111">
        <v>10</v>
      </c>
      <c r="J225" s="111" t="s">
        <v>106</v>
      </c>
      <c r="K225" s="124"/>
      <c r="L225" s="111"/>
      <c r="M225" s="108" t="s">
        <v>107</v>
      </c>
      <c r="N225" s="108"/>
    </row>
    <row r="226" spans="1:101" ht="15" x14ac:dyDescent="0.2">
      <c r="A226" s="144">
        <f t="shared" si="33"/>
        <v>196</v>
      </c>
      <c r="B226" s="255"/>
      <c r="C226" s="104"/>
      <c r="D226" s="112" t="s">
        <v>339</v>
      </c>
      <c r="E226" s="110">
        <v>120</v>
      </c>
      <c r="F226" s="110"/>
      <c r="G226" s="107">
        <f t="shared" si="43"/>
        <v>35</v>
      </c>
      <c r="H226" s="107">
        <f t="shared" si="44"/>
        <v>94</v>
      </c>
      <c r="I226" s="111">
        <v>60</v>
      </c>
      <c r="J226" s="111" t="s">
        <v>15</v>
      </c>
      <c r="K226" s="124"/>
      <c r="L226" s="111"/>
      <c r="M226" s="108"/>
      <c r="N226" s="108"/>
    </row>
    <row r="227" spans="1:101" ht="15" x14ac:dyDescent="0.2">
      <c r="A227" s="144">
        <f t="shared" si="33"/>
        <v>197</v>
      </c>
      <c r="B227" s="255"/>
      <c r="C227" s="104"/>
      <c r="D227" s="112" t="s">
        <v>340</v>
      </c>
      <c r="E227" s="110">
        <v>121</v>
      </c>
      <c r="F227" s="110"/>
      <c r="G227" s="107">
        <f t="shared" si="43"/>
        <v>95</v>
      </c>
      <c r="H227" s="107">
        <f t="shared" si="44"/>
        <v>96</v>
      </c>
      <c r="I227" s="111">
        <v>2</v>
      </c>
      <c r="J227" s="111" t="s">
        <v>15</v>
      </c>
      <c r="K227" s="124"/>
      <c r="L227" s="111"/>
      <c r="M227" s="108"/>
      <c r="N227" s="108"/>
    </row>
    <row r="228" spans="1:101" ht="15" x14ac:dyDescent="0.2">
      <c r="A228" s="144">
        <f t="shared" si="33"/>
        <v>198</v>
      </c>
      <c r="B228" s="255"/>
      <c r="C228" s="104"/>
      <c r="D228" s="112" t="s">
        <v>341</v>
      </c>
      <c r="E228" s="110">
        <v>122</v>
      </c>
      <c r="F228" s="110"/>
      <c r="G228" s="107">
        <f t="shared" si="43"/>
        <v>97</v>
      </c>
      <c r="H228" s="107">
        <f t="shared" si="44"/>
        <v>106</v>
      </c>
      <c r="I228" s="111">
        <v>10</v>
      </c>
      <c r="J228" s="111" t="s">
        <v>106</v>
      </c>
      <c r="K228" s="124"/>
      <c r="L228" s="111"/>
      <c r="M228" s="108" t="s">
        <v>107</v>
      </c>
      <c r="N228" s="108"/>
    </row>
    <row r="229" spans="1:101" ht="15" x14ac:dyDescent="0.2">
      <c r="A229" s="144">
        <f t="shared" si="33"/>
        <v>199</v>
      </c>
      <c r="B229" s="255"/>
      <c r="C229" s="104"/>
      <c r="D229" s="112" t="s">
        <v>342</v>
      </c>
      <c r="E229" s="110">
        <v>123</v>
      </c>
      <c r="F229" s="110"/>
      <c r="G229" s="107">
        <f t="shared" si="43"/>
        <v>107</v>
      </c>
      <c r="H229" s="107">
        <f t="shared" si="44"/>
        <v>166</v>
      </c>
      <c r="I229" s="111">
        <v>60</v>
      </c>
      <c r="J229" s="111" t="s">
        <v>15</v>
      </c>
      <c r="K229" s="124"/>
      <c r="L229" s="111"/>
      <c r="M229" s="108"/>
      <c r="N229" s="108"/>
    </row>
    <row r="230" spans="1:101" s="143" customFormat="1" x14ac:dyDescent="0.2">
      <c r="A230" s="144">
        <f t="shared" si="33"/>
        <v>200</v>
      </c>
      <c r="B230" s="144"/>
      <c r="C230" s="49"/>
      <c r="D230" s="49" t="s">
        <v>343</v>
      </c>
      <c r="E230" s="145" t="s">
        <v>344</v>
      </c>
      <c r="F230" s="145"/>
      <c r="G230" s="107">
        <f t="shared" ref="G230" si="45">H229+1</f>
        <v>167</v>
      </c>
      <c r="H230" s="107">
        <f t="shared" ref="H230" si="46">H229+I230</f>
        <v>202</v>
      </c>
      <c r="I230" s="147">
        <v>36</v>
      </c>
      <c r="J230" s="147" t="s">
        <v>15</v>
      </c>
      <c r="K230" s="264"/>
      <c r="L230" s="147"/>
      <c r="M230" s="48"/>
      <c r="N230" s="48"/>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row>
    <row r="231" spans="1:101" s="117" customFormat="1" ht="165.75" x14ac:dyDescent="0.2">
      <c r="A231" s="144">
        <f t="shared" si="33"/>
        <v>201</v>
      </c>
      <c r="B231" s="144"/>
      <c r="C231" s="112"/>
      <c r="D231" s="112" t="s">
        <v>345</v>
      </c>
      <c r="E231" s="106" t="s">
        <v>346</v>
      </c>
      <c r="F231" s="106"/>
      <c r="G231" s="107">
        <f t="shared" ref="G231" si="47">H230+1</f>
        <v>203</v>
      </c>
      <c r="H231" s="107">
        <f t="shared" ref="H231" si="48">H230+I231</f>
        <v>204</v>
      </c>
      <c r="I231" s="111">
        <v>2</v>
      </c>
      <c r="J231" s="111" t="s">
        <v>18</v>
      </c>
      <c r="K231" s="124"/>
      <c r="L231" s="111"/>
      <c r="M231" s="108"/>
      <c r="N231" s="48" t="s">
        <v>347</v>
      </c>
    </row>
    <row r="232" spans="1:101" s="117" customFormat="1" x14ac:dyDescent="0.2">
      <c r="A232" s="144">
        <f t="shared" si="33"/>
        <v>202</v>
      </c>
      <c r="B232" s="144"/>
      <c r="C232" s="112"/>
      <c r="D232" s="112" t="s">
        <v>348</v>
      </c>
      <c r="E232" s="106" t="s">
        <v>349</v>
      </c>
      <c r="F232" s="106"/>
      <c r="G232" s="107">
        <f t="shared" ref="G232" si="49">H231+1</f>
        <v>205</v>
      </c>
      <c r="H232" s="107">
        <f t="shared" ref="H232" si="50">H231+I232</f>
        <v>219</v>
      </c>
      <c r="I232" s="111">
        <v>15</v>
      </c>
      <c r="J232" s="111" t="s">
        <v>18</v>
      </c>
      <c r="K232" s="124"/>
      <c r="L232" s="111">
        <v>2</v>
      </c>
      <c r="M232" s="108"/>
      <c r="N232" s="108" t="s">
        <v>350</v>
      </c>
    </row>
    <row r="233" spans="1:101" s="117" customFormat="1" ht="38.25" x14ac:dyDescent="0.2">
      <c r="A233" s="144">
        <f t="shared" si="33"/>
        <v>203</v>
      </c>
      <c r="B233" s="144"/>
      <c r="C233" s="112"/>
      <c r="D233" s="112" t="s">
        <v>351</v>
      </c>
      <c r="E233" s="106" t="s">
        <v>352</v>
      </c>
      <c r="F233" s="106"/>
      <c r="G233" s="107">
        <f t="shared" ref="G233" si="51">H232+1</f>
        <v>220</v>
      </c>
      <c r="H233" s="107">
        <f t="shared" ref="H233" si="52">H232+I233</f>
        <v>220</v>
      </c>
      <c r="I233" s="111">
        <v>1</v>
      </c>
      <c r="J233" s="111" t="s">
        <v>18</v>
      </c>
      <c r="K233" s="124"/>
      <c r="L233" s="111"/>
      <c r="M233" s="108"/>
      <c r="N233" s="108" t="s">
        <v>353</v>
      </c>
    </row>
    <row r="234" spans="1:101" s="117" customFormat="1" x14ac:dyDescent="0.2">
      <c r="A234" s="144">
        <f t="shared" si="33"/>
        <v>204</v>
      </c>
      <c r="B234" s="144"/>
      <c r="C234" s="112"/>
      <c r="D234" s="112" t="s">
        <v>354</v>
      </c>
      <c r="E234" s="106" t="s">
        <v>355</v>
      </c>
      <c r="F234" s="106"/>
      <c r="G234" s="107">
        <f t="shared" ref="G234" si="53">H233+1</f>
        <v>221</v>
      </c>
      <c r="H234" s="107">
        <f t="shared" ref="H234" si="54">H233+I234</f>
        <v>234</v>
      </c>
      <c r="I234" s="111">
        <v>14</v>
      </c>
      <c r="J234" s="111" t="s">
        <v>18</v>
      </c>
      <c r="K234" s="124"/>
      <c r="L234" s="111"/>
      <c r="M234" s="108"/>
      <c r="N234" s="108" t="s">
        <v>356</v>
      </c>
    </row>
    <row r="235" spans="1:101" s="117" customFormat="1" x14ac:dyDescent="0.2">
      <c r="A235" s="144">
        <f t="shared" si="33"/>
        <v>205</v>
      </c>
      <c r="B235" s="144"/>
      <c r="C235" s="112"/>
      <c r="D235" s="112" t="s">
        <v>357</v>
      </c>
      <c r="E235" s="106" t="s">
        <v>358</v>
      </c>
      <c r="F235" s="106"/>
      <c r="G235" s="107">
        <f t="shared" ref="G235" si="55">H234+1</f>
        <v>235</v>
      </c>
      <c r="H235" s="107">
        <f t="shared" ref="H235" si="56">H234+I235</f>
        <v>236</v>
      </c>
      <c r="I235" s="111">
        <v>2</v>
      </c>
      <c r="J235" s="111" t="s">
        <v>15</v>
      </c>
      <c r="K235" s="124"/>
      <c r="L235" s="111"/>
      <c r="M235" s="108"/>
      <c r="N235" s="108" t="s">
        <v>359</v>
      </c>
    </row>
    <row r="236" spans="1:101" s="117" customFormat="1" x14ac:dyDescent="0.2">
      <c r="A236" s="144">
        <f t="shared" si="33"/>
        <v>206</v>
      </c>
      <c r="B236" s="144"/>
      <c r="C236" s="112"/>
      <c r="D236" s="49" t="s">
        <v>360</v>
      </c>
      <c r="E236" s="145" t="s">
        <v>361</v>
      </c>
      <c r="F236" s="145"/>
      <c r="G236" s="146">
        <f t="shared" ref="G236" si="57">H235+1</f>
        <v>237</v>
      </c>
      <c r="H236" s="146">
        <f t="shared" ref="H236" si="58">H235+I236</f>
        <v>251</v>
      </c>
      <c r="I236" s="147">
        <v>15</v>
      </c>
      <c r="J236" s="147" t="s">
        <v>15</v>
      </c>
      <c r="K236" s="264"/>
      <c r="L236" s="147"/>
      <c r="M236" s="48"/>
      <c r="N236" s="48"/>
    </row>
    <row r="237" spans="1:101" s="278" customFormat="1" x14ac:dyDescent="0.2">
      <c r="A237" s="241">
        <v>205</v>
      </c>
      <c r="B237" s="241" t="s">
        <v>1828</v>
      </c>
      <c r="C237" s="242" t="s">
        <v>1801</v>
      </c>
      <c r="D237" s="272" t="s">
        <v>1538</v>
      </c>
      <c r="E237" s="273" t="s">
        <v>1539</v>
      </c>
      <c r="F237" s="273" t="s">
        <v>1539</v>
      </c>
      <c r="G237" s="274">
        <v>252</v>
      </c>
      <c r="H237" s="274">
        <v>262</v>
      </c>
      <c r="I237" s="275">
        <v>11</v>
      </c>
      <c r="J237" s="275" t="s">
        <v>18</v>
      </c>
      <c r="K237" s="276" t="s">
        <v>1769</v>
      </c>
      <c r="L237" s="275"/>
      <c r="M237" s="277"/>
      <c r="N237" s="277" t="s">
        <v>356</v>
      </c>
      <c r="O237" s="117"/>
      <c r="P237" s="117"/>
      <c r="Q237" s="117"/>
      <c r="R237" s="117"/>
      <c r="S237" s="117"/>
      <c r="T237" s="117"/>
      <c r="U237" s="117"/>
      <c r="V237" s="117"/>
      <c r="W237" s="117"/>
      <c r="X237" s="117"/>
      <c r="Y237" s="117"/>
      <c r="Z237" s="117"/>
      <c r="AA237" s="117"/>
      <c r="AB237" s="117"/>
      <c r="AC237" s="117"/>
      <c r="AD237" s="117"/>
      <c r="AE237" s="117"/>
      <c r="AF237" s="117"/>
      <c r="AG237" s="117"/>
      <c r="AH237" s="117"/>
      <c r="AI237" s="117"/>
      <c r="AJ237" s="117"/>
      <c r="AK237" s="117"/>
      <c r="AL237" s="117"/>
      <c r="AM237" s="117"/>
      <c r="AN237" s="117"/>
      <c r="AO237" s="117"/>
      <c r="AP237" s="117"/>
      <c r="AQ237" s="117"/>
      <c r="AR237" s="117"/>
      <c r="AS237" s="117"/>
      <c r="AT237" s="117"/>
      <c r="AU237" s="117"/>
      <c r="AV237" s="117"/>
      <c r="AW237" s="117"/>
      <c r="AX237" s="117"/>
      <c r="AY237" s="117"/>
      <c r="AZ237" s="117"/>
      <c r="BA237" s="117"/>
      <c r="BB237" s="117"/>
      <c r="BC237" s="117"/>
      <c r="BD237" s="117"/>
      <c r="BE237" s="117"/>
      <c r="BF237" s="117"/>
      <c r="BG237" s="117"/>
      <c r="BH237" s="117"/>
      <c r="BI237" s="117"/>
      <c r="BJ237" s="117"/>
      <c r="BK237" s="117"/>
      <c r="BL237" s="117"/>
      <c r="BM237" s="117"/>
      <c r="BN237" s="117"/>
      <c r="BO237" s="117"/>
      <c r="BP237" s="117"/>
      <c r="BQ237" s="117"/>
      <c r="BR237" s="117"/>
      <c r="BS237" s="117"/>
      <c r="BT237" s="117"/>
      <c r="BU237" s="117"/>
      <c r="BV237" s="117"/>
      <c r="BW237" s="117"/>
      <c r="BX237" s="117"/>
      <c r="BY237" s="117"/>
      <c r="BZ237" s="117"/>
      <c r="CA237" s="117"/>
      <c r="CB237" s="117"/>
      <c r="CC237" s="117"/>
      <c r="CD237" s="117"/>
      <c r="CE237" s="117"/>
      <c r="CF237" s="117"/>
      <c r="CG237" s="117"/>
      <c r="CH237" s="117"/>
      <c r="CI237" s="117"/>
      <c r="CJ237" s="117"/>
      <c r="CK237" s="117"/>
      <c r="CL237" s="117"/>
      <c r="CM237" s="117"/>
      <c r="CN237" s="117"/>
      <c r="CO237" s="117"/>
      <c r="CP237" s="117"/>
      <c r="CQ237" s="117"/>
      <c r="CR237" s="117"/>
      <c r="CS237" s="117"/>
      <c r="CT237" s="117"/>
      <c r="CU237" s="117"/>
      <c r="CV237" s="117"/>
      <c r="CW237" s="117"/>
    </row>
    <row r="238" spans="1:101" ht="15" x14ac:dyDescent="0.2">
      <c r="A238" s="288">
        <v>206</v>
      </c>
      <c r="B238" s="292"/>
      <c r="C238" s="293"/>
      <c r="D238" s="294" t="s">
        <v>28</v>
      </c>
      <c r="E238" s="289" t="s">
        <v>14</v>
      </c>
      <c r="F238" s="289"/>
      <c r="G238" s="290">
        <v>263</v>
      </c>
      <c r="H238" s="290">
        <f>H236+I238</f>
        <v>588</v>
      </c>
      <c r="I238" s="290">
        <v>337</v>
      </c>
      <c r="J238" s="290" t="s">
        <v>15</v>
      </c>
      <c r="K238" s="289"/>
      <c r="L238" s="290"/>
      <c r="M238" s="291"/>
      <c r="N238" s="295" t="s">
        <v>29</v>
      </c>
    </row>
    <row r="239" spans="1:101" ht="14.45" customHeight="1" x14ac:dyDescent="0.2">
      <c r="A239" s="324"/>
      <c r="B239" s="325"/>
      <c r="C239" s="325"/>
      <c r="D239" s="325"/>
      <c r="E239" s="325"/>
      <c r="F239" s="325"/>
      <c r="G239" s="325"/>
      <c r="H239" s="325"/>
      <c r="I239" s="325"/>
      <c r="J239" s="325"/>
      <c r="K239" s="325"/>
      <c r="L239" s="325"/>
      <c r="M239" s="325"/>
      <c r="N239" s="326"/>
    </row>
    <row r="240" spans="1:101" x14ac:dyDescent="0.2">
      <c r="A240" s="144">
        <f>A238+1</f>
        <v>207</v>
      </c>
      <c r="B240" s="144"/>
      <c r="C240" s="163" t="s">
        <v>362</v>
      </c>
      <c r="D240" s="164"/>
      <c r="E240" s="106" t="s">
        <v>14</v>
      </c>
      <c r="F240" s="106"/>
      <c r="G240" s="107">
        <f>$H$16+1</f>
        <v>7</v>
      </c>
      <c r="H240" s="107">
        <f>I240+$H$16</f>
        <v>9</v>
      </c>
      <c r="I240" s="107">
        <v>3</v>
      </c>
      <c r="J240" s="107" t="s">
        <v>18</v>
      </c>
      <c r="K240" s="106"/>
      <c r="L240" s="107"/>
      <c r="M240" s="108"/>
      <c r="N240" s="164" t="s">
        <v>363</v>
      </c>
    </row>
    <row r="241" spans="1:14" ht="15" x14ac:dyDescent="0.2">
      <c r="A241" s="144">
        <f t="shared" si="33"/>
        <v>208</v>
      </c>
      <c r="B241" s="144"/>
      <c r="C241" s="112"/>
      <c r="D241" s="166" t="s">
        <v>267</v>
      </c>
      <c r="E241" s="110">
        <v>99</v>
      </c>
      <c r="F241" s="110"/>
      <c r="G241" s="107">
        <f t="shared" ref="G241" si="59">H240+1</f>
        <v>10</v>
      </c>
      <c r="H241" s="107">
        <f t="shared" ref="H241" si="60">H240+I241</f>
        <v>12</v>
      </c>
      <c r="I241" s="111">
        <v>3</v>
      </c>
      <c r="J241" s="111" t="s">
        <v>18</v>
      </c>
      <c r="K241" s="124"/>
      <c r="L241" s="107"/>
      <c r="M241" s="108"/>
      <c r="N241" s="108" t="s">
        <v>268</v>
      </c>
    </row>
    <row r="242" spans="1:14" ht="15" x14ac:dyDescent="0.2">
      <c r="A242" s="144">
        <f t="shared" si="33"/>
        <v>209</v>
      </c>
      <c r="B242" s="255"/>
      <c r="C242" s="167"/>
      <c r="D242" s="112" t="s">
        <v>364</v>
      </c>
      <c r="E242" s="110">
        <v>118</v>
      </c>
      <c r="F242" s="110"/>
      <c r="G242" s="107">
        <f t="shared" ref="G242" si="61">H241+1</f>
        <v>13</v>
      </c>
      <c r="H242" s="107">
        <f t="shared" ref="H242" si="62">H241+I242</f>
        <v>22</v>
      </c>
      <c r="I242" s="111">
        <v>10</v>
      </c>
      <c r="J242" s="111" t="s">
        <v>15</v>
      </c>
      <c r="K242" s="124"/>
      <c r="L242" s="111"/>
      <c r="M242" s="108"/>
      <c r="N242" s="108" t="s">
        <v>365</v>
      </c>
    </row>
    <row r="243" spans="1:14" ht="15" x14ac:dyDescent="0.2">
      <c r="A243" s="144">
        <f t="shared" si="33"/>
        <v>210</v>
      </c>
      <c r="B243" s="255"/>
      <c r="C243" s="104"/>
      <c r="D243" s="112" t="s">
        <v>366</v>
      </c>
      <c r="E243" s="110">
        <v>125</v>
      </c>
      <c r="F243" s="110"/>
      <c r="G243" s="107">
        <f t="shared" ref="G243" si="63">H242+1</f>
        <v>23</v>
      </c>
      <c r="H243" s="107">
        <f t="shared" ref="H243" si="64">H242+I243</f>
        <v>25</v>
      </c>
      <c r="I243" s="111">
        <v>3</v>
      </c>
      <c r="J243" s="111" t="s">
        <v>18</v>
      </c>
      <c r="K243" s="124"/>
      <c r="L243" s="111"/>
      <c r="M243" s="108"/>
      <c r="N243" s="108"/>
    </row>
    <row r="244" spans="1:14" ht="15" x14ac:dyDescent="0.2">
      <c r="A244" s="144">
        <f t="shared" si="33"/>
        <v>211</v>
      </c>
      <c r="B244" s="255"/>
      <c r="C244" s="104"/>
      <c r="D244" s="112" t="s">
        <v>367</v>
      </c>
      <c r="E244" s="110">
        <v>126</v>
      </c>
      <c r="F244" s="110"/>
      <c r="G244" s="107">
        <f t="shared" ref="G244" si="65">H243+1</f>
        <v>26</v>
      </c>
      <c r="H244" s="107">
        <f t="shared" ref="H244" si="66">H243+I244</f>
        <v>28</v>
      </c>
      <c r="I244" s="111">
        <v>3</v>
      </c>
      <c r="J244" s="111" t="s">
        <v>18</v>
      </c>
      <c r="K244" s="124"/>
      <c r="L244" s="111"/>
      <c r="M244" s="108"/>
      <c r="N244" s="108"/>
    </row>
    <row r="245" spans="1:14" ht="15" x14ac:dyDescent="0.2">
      <c r="A245" s="144">
        <f t="shared" si="33"/>
        <v>212</v>
      </c>
      <c r="B245" s="255"/>
      <c r="C245" s="104"/>
      <c r="D245" s="112" t="s">
        <v>368</v>
      </c>
      <c r="E245" s="110">
        <v>127</v>
      </c>
      <c r="F245" s="110"/>
      <c r="G245" s="107">
        <f t="shared" ref="G245" si="67">H244+1</f>
        <v>29</v>
      </c>
      <c r="H245" s="107">
        <f t="shared" ref="H245" si="68">H244+I245</f>
        <v>88</v>
      </c>
      <c r="I245" s="111">
        <v>60</v>
      </c>
      <c r="J245" s="111" t="s">
        <v>15</v>
      </c>
      <c r="K245" s="124"/>
      <c r="L245" s="111"/>
      <c r="M245" s="108"/>
      <c r="N245" s="108"/>
    </row>
    <row r="246" spans="1:14" ht="15" x14ac:dyDescent="0.2">
      <c r="A246" s="144">
        <f t="shared" si="33"/>
        <v>213</v>
      </c>
      <c r="B246" s="255"/>
      <c r="C246" s="104"/>
      <c r="D246" s="112" t="s">
        <v>369</v>
      </c>
      <c r="E246" s="110">
        <v>128</v>
      </c>
      <c r="F246" s="110"/>
      <c r="G246" s="107">
        <f t="shared" ref="G246" si="69">H245+1</f>
        <v>89</v>
      </c>
      <c r="H246" s="107">
        <f t="shared" ref="H246" si="70">H245+I246</f>
        <v>103</v>
      </c>
      <c r="I246" s="111">
        <v>15</v>
      </c>
      <c r="J246" s="111" t="s">
        <v>18</v>
      </c>
      <c r="K246" s="124"/>
      <c r="L246" s="111">
        <v>2</v>
      </c>
      <c r="M246" s="108"/>
      <c r="N246" s="108"/>
    </row>
    <row r="247" spans="1:14" s="117" customFormat="1" ht="15" x14ac:dyDescent="0.2">
      <c r="A247" s="144">
        <f>A246+1</f>
        <v>214</v>
      </c>
      <c r="B247" s="255"/>
      <c r="C247" s="104"/>
      <c r="D247" s="49" t="s">
        <v>370</v>
      </c>
      <c r="E247" s="153" t="s">
        <v>371</v>
      </c>
      <c r="F247" s="153"/>
      <c r="G247" s="146">
        <f t="shared" ref="G247:G248" si="71">H246+1</f>
        <v>104</v>
      </c>
      <c r="H247" s="146">
        <f t="shared" ref="H247:H248" si="72">H246+I247</f>
        <v>123</v>
      </c>
      <c r="I247" s="147">
        <v>20</v>
      </c>
      <c r="J247" s="147" t="s">
        <v>15</v>
      </c>
      <c r="K247" s="264"/>
      <c r="L247" s="147"/>
      <c r="M247" s="48"/>
      <c r="N247" s="48"/>
    </row>
    <row r="248" spans="1:14" s="117" customFormat="1" ht="15" x14ac:dyDescent="0.2">
      <c r="A248" s="144">
        <f>A247+1</f>
        <v>215</v>
      </c>
      <c r="B248" s="255"/>
      <c r="C248" s="104"/>
      <c r="D248" s="49" t="s">
        <v>372</v>
      </c>
      <c r="E248" s="153">
        <v>126</v>
      </c>
      <c r="F248" s="153"/>
      <c r="G248" s="146">
        <f t="shared" si="71"/>
        <v>124</v>
      </c>
      <c r="H248" s="146">
        <f t="shared" si="72"/>
        <v>128</v>
      </c>
      <c r="I248" s="147">
        <v>5</v>
      </c>
      <c r="J248" s="147" t="s">
        <v>18</v>
      </c>
      <c r="K248" s="264"/>
      <c r="L248" s="147"/>
      <c r="M248" s="48"/>
      <c r="N248" s="48"/>
    </row>
    <row r="249" spans="1:14" ht="15" x14ac:dyDescent="0.2">
      <c r="A249" s="288">
        <f t="shared" ref="A249:A315" si="73">A248+1</f>
        <v>216</v>
      </c>
      <c r="B249" s="292"/>
      <c r="C249" s="293"/>
      <c r="D249" s="294" t="s">
        <v>28</v>
      </c>
      <c r="E249" s="289" t="s">
        <v>14</v>
      </c>
      <c r="F249" s="289"/>
      <c r="G249" s="290">
        <f t="shared" ref="G249" si="74">H248+1</f>
        <v>129</v>
      </c>
      <c r="H249" s="290">
        <f t="shared" ref="H249" si="75">H248+I249</f>
        <v>600</v>
      </c>
      <c r="I249" s="290">
        <v>472</v>
      </c>
      <c r="J249" s="290" t="s">
        <v>15</v>
      </c>
      <c r="K249" s="289"/>
      <c r="L249" s="290"/>
      <c r="M249" s="291"/>
      <c r="N249" s="295" t="s">
        <v>29</v>
      </c>
    </row>
    <row r="250" spans="1:14" ht="14.45" customHeight="1" x14ac:dyDescent="0.2">
      <c r="A250" s="324"/>
      <c r="B250" s="325"/>
      <c r="C250" s="325"/>
      <c r="D250" s="325"/>
      <c r="E250" s="325"/>
      <c r="F250" s="325"/>
      <c r="G250" s="325"/>
      <c r="H250" s="325"/>
      <c r="I250" s="325"/>
      <c r="J250" s="325"/>
      <c r="K250" s="325"/>
      <c r="L250" s="325"/>
      <c r="M250" s="325"/>
      <c r="N250" s="326"/>
    </row>
    <row r="251" spans="1:14" x14ac:dyDescent="0.2">
      <c r="A251" s="144">
        <f>A249+1</f>
        <v>217</v>
      </c>
      <c r="B251" s="144"/>
      <c r="C251" s="163" t="s">
        <v>373</v>
      </c>
      <c r="D251" s="164"/>
      <c r="E251" s="106" t="s">
        <v>14</v>
      </c>
      <c r="F251" s="106"/>
      <c r="G251" s="107">
        <f>$H$16+1</f>
        <v>7</v>
      </c>
      <c r="H251" s="107">
        <f>I251+$H$16</f>
        <v>9</v>
      </c>
      <c r="I251" s="107">
        <v>3</v>
      </c>
      <c r="J251" s="107" t="s">
        <v>18</v>
      </c>
      <c r="K251" s="106"/>
      <c r="L251" s="107"/>
      <c r="M251" s="108"/>
      <c r="N251" s="168" t="s">
        <v>374</v>
      </c>
    </row>
    <row r="252" spans="1:14" ht="15" x14ac:dyDescent="0.2">
      <c r="A252" s="144">
        <f t="shared" si="73"/>
        <v>218</v>
      </c>
      <c r="B252" s="144"/>
      <c r="C252" s="112"/>
      <c r="D252" s="166" t="s">
        <v>267</v>
      </c>
      <c r="E252" s="110">
        <v>99</v>
      </c>
      <c r="F252" s="110"/>
      <c r="G252" s="107">
        <f>H251+1</f>
        <v>10</v>
      </c>
      <c r="H252" s="107">
        <f>H251+I252</f>
        <v>12</v>
      </c>
      <c r="I252" s="111">
        <v>3</v>
      </c>
      <c r="J252" s="111" t="s">
        <v>18</v>
      </c>
      <c r="K252" s="124"/>
      <c r="L252" s="107"/>
      <c r="M252" s="108"/>
      <c r="N252" s="108" t="s">
        <v>268</v>
      </c>
    </row>
    <row r="253" spans="1:14" ht="51" x14ac:dyDescent="0.2">
      <c r="A253" s="144">
        <f t="shared" si="73"/>
        <v>219</v>
      </c>
      <c r="B253" s="144"/>
      <c r="C253" s="112"/>
      <c r="D253" s="105" t="s">
        <v>375</v>
      </c>
      <c r="E253" s="124">
        <v>130</v>
      </c>
      <c r="F253" s="124"/>
      <c r="G253" s="107">
        <f t="shared" ref="G253:G274" si="76">H252+1</f>
        <v>13</v>
      </c>
      <c r="H253" s="107">
        <f t="shared" ref="H253:H272" si="77">H252+I253</f>
        <v>13</v>
      </c>
      <c r="I253" s="125">
        <v>1</v>
      </c>
      <c r="J253" s="125" t="s">
        <v>18</v>
      </c>
      <c r="K253" s="110"/>
      <c r="L253" s="125"/>
      <c r="M253" s="108"/>
      <c r="N253" s="108" t="s">
        <v>376</v>
      </c>
    </row>
    <row r="254" spans="1:14" ht="15" x14ac:dyDescent="0.2">
      <c r="A254" s="144">
        <f t="shared" si="73"/>
        <v>220</v>
      </c>
      <c r="B254" s="144"/>
      <c r="C254" s="112"/>
      <c r="D254" s="105" t="s">
        <v>377</v>
      </c>
      <c r="E254" s="124">
        <v>131</v>
      </c>
      <c r="F254" s="124"/>
      <c r="G254" s="107">
        <f t="shared" si="76"/>
        <v>14</v>
      </c>
      <c r="H254" s="107">
        <f t="shared" si="77"/>
        <v>30</v>
      </c>
      <c r="I254" s="125">
        <v>17</v>
      </c>
      <c r="J254" s="125" t="s">
        <v>15</v>
      </c>
      <c r="K254" s="110"/>
      <c r="L254" s="125"/>
      <c r="M254" s="108"/>
      <c r="N254" s="108"/>
    </row>
    <row r="255" spans="1:14" ht="15" x14ac:dyDescent="0.2">
      <c r="A255" s="144">
        <f t="shared" si="73"/>
        <v>221</v>
      </c>
      <c r="B255" s="144"/>
      <c r="C255" s="112"/>
      <c r="D255" s="105" t="s">
        <v>378</v>
      </c>
      <c r="E255" s="124">
        <v>132</v>
      </c>
      <c r="F255" s="124"/>
      <c r="G255" s="107">
        <f t="shared" si="76"/>
        <v>31</v>
      </c>
      <c r="H255" s="107">
        <f t="shared" si="77"/>
        <v>34</v>
      </c>
      <c r="I255" s="125">
        <v>4</v>
      </c>
      <c r="J255" s="125" t="s">
        <v>15</v>
      </c>
      <c r="K255" s="110"/>
      <c r="L255" s="125"/>
      <c r="M255" s="108"/>
      <c r="N255" s="108" t="s">
        <v>379</v>
      </c>
    </row>
    <row r="256" spans="1:14" ht="15" x14ac:dyDescent="0.2">
      <c r="A256" s="144">
        <f t="shared" si="73"/>
        <v>222</v>
      </c>
      <c r="B256" s="144"/>
      <c r="C256" s="112"/>
      <c r="D256" s="105" t="s">
        <v>380</v>
      </c>
      <c r="E256" s="124">
        <v>133</v>
      </c>
      <c r="F256" s="124"/>
      <c r="G256" s="107">
        <f t="shared" si="76"/>
        <v>35</v>
      </c>
      <c r="H256" s="107">
        <f t="shared" si="77"/>
        <v>74</v>
      </c>
      <c r="I256" s="125">
        <v>40</v>
      </c>
      <c r="J256" s="125" t="s">
        <v>15</v>
      </c>
      <c r="K256" s="110"/>
      <c r="L256" s="125"/>
      <c r="M256" s="108"/>
      <c r="N256" s="108"/>
    </row>
    <row r="257" spans="1:14" ht="15" x14ac:dyDescent="0.2">
      <c r="A257" s="144">
        <f t="shared" si="73"/>
        <v>223</v>
      </c>
      <c r="B257" s="144"/>
      <c r="C257" s="112"/>
      <c r="D257" s="105" t="s">
        <v>381</v>
      </c>
      <c r="E257" s="124">
        <v>134</v>
      </c>
      <c r="F257" s="124"/>
      <c r="G257" s="107">
        <f t="shared" si="76"/>
        <v>75</v>
      </c>
      <c r="H257" s="107">
        <f t="shared" si="77"/>
        <v>78</v>
      </c>
      <c r="I257" s="125">
        <v>4</v>
      </c>
      <c r="J257" s="125" t="s">
        <v>15</v>
      </c>
      <c r="K257" s="110"/>
      <c r="L257" s="125"/>
      <c r="M257" s="108"/>
      <c r="N257" s="108" t="s">
        <v>382</v>
      </c>
    </row>
    <row r="258" spans="1:14" ht="15" x14ac:dyDescent="0.2">
      <c r="A258" s="144">
        <f t="shared" si="73"/>
        <v>224</v>
      </c>
      <c r="B258" s="144"/>
      <c r="C258" s="112"/>
      <c r="D258" s="105" t="s">
        <v>383</v>
      </c>
      <c r="E258" s="124">
        <v>135</v>
      </c>
      <c r="F258" s="124"/>
      <c r="G258" s="107">
        <f t="shared" si="76"/>
        <v>79</v>
      </c>
      <c r="H258" s="107">
        <f t="shared" si="77"/>
        <v>82</v>
      </c>
      <c r="I258" s="125">
        <v>4</v>
      </c>
      <c r="J258" s="125" t="s">
        <v>15</v>
      </c>
      <c r="K258" s="110"/>
      <c r="L258" s="125"/>
      <c r="M258" s="108"/>
      <c r="N258" s="108" t="s">
        <v>384</v>
      </c>
    </row>
    <row r="259" spans="1:14" ht="15" x14ac:dyDescent="0.2">
      <c r="A259" s="144">
        <f t="shared" si="73"/>
        <v>225</v>
      </c>
      <c r="B259" s="144"/>
      <c r="C259" s="112"/>
      <c r="D259" s="105" t="s">
        <v>385</v>
      </c>
      <c r="E259" s="124">
        <v>136</v>
      </c>
      <c r="F259" s="124"/>
      <c r="G259" s="107">
        <f t="shared" si="76"/>
        <v>83</v>
      </c>
      <c r="H259" s="107">
        <f t="shared" si="77"/>
        <v>91</v>
      </c>
      <c r="I259" s="125">
        <v>9</v>
      </c>
      <c r="J259" s="125" t="s">
        <v>15</v>
      </c>
      <c r="K259" s="110"/>
      <c r="L259" s="125"/>
      <c r="M259" s="108"/>
      <c r="N259" s="108"/>
    </row>
    <row r="260" spans="1:14" ht="15" x14ac:dyDescent="0.2">
      <c r="A260" s="144">
        <f t="shared" si="73"/>
        <v>226</v>
      </c>
      <c r="B260" s="144"/>
      <c r="C260" s="112"/>
      <c r="D260" s="105" t="s">
        <v>386</v>
      </c>
      <c r="E260" s="124">
        <v>137</v>
      </c>
      <c r="F260" s="124"/>
      <c r="G260" s="107">
        <f t="shared" si="76"/>
        <v>92</v>
      </c>
      <c r="H260" s="107">
        <f t="shared" si="77"/>
        <v>100</v>
      </c>
      <c r="I260" s="125">
        <v>9</v>
      </c>
      <c r="J260" s="125" t="s">
        <v>15</v>
      </c>
      <c r="K260" s="110"/>
      <c r="L260" s="125"/>
      <c r="M260" s="108"/>
      <c r="N260" s="108"/>
    </row>
    <row r="261" spans="1:14" ht="15" x14ac:dyDescent="0.2">
      <c r="A261" s="144">
        <f t="shared" si="73"/>
        <v>227</v>
      </c>
      <c r="B261" s="144"/>
      <c r="C261" s="112"/>
      <c r="D261" s="105" t="s">
        <v>387</v>
      </c>
      <c r="E261" s="124">
        <v>138</v>
      </c>
      <c r="F261" s="124"/>
      <c r="G261" s="107">
        <f t="shared" si="76"/>
        <v>101</v>
      </c>
      <c r="H261" s="107">
        <f t="shared" si="77"/>
        <v>109</v>
      </c>
      <c r="I261" s="125">
        <v>9</v>
      </c>
      <c r="J261" s="125" t="s">
        <v>15</v>
      </c>
      <c r="K261" s="110"/>
      <c r="L261" s="125"/>
      <c r="M261" s="108"/>
      <c r="N261" s="108"/>
    </row>
    <row r="262" spans="1:14" ht="15" x14ac:dyDescent="0.2">
      <c r="A262" s="144">
        <f t="shared" si="73"/>
        <v>228</v>
      </c>
      <c r="B262" s="144"/>
      <c r="C262" s="112"/>
      <c r="D262" s="105" t="s">
        <v>388</v>
      </c>
      <c r="E262" s="124">
        <v>139</v>
      </c>
      <c r="F262" s="124"/>
      <c r="G262" s="107">
        <f t="shared" si="76"/>
        <v>110</v>
      </c>
      <c r="H262" s="107">
        <f t="shared" si="77"/>
        <v>111</v>
      </c>
      <c r="I262" s="125">
        <v>2</v>
      </c>
      <c r="J262" s="125" t="s">
        <v>15</v>
      </c>
      <c r="K262" s="110"/>
      <c r="L262" s="125"/>
      <c r="M262" s="108"/>
      <c r="N262" s="108" t="s">
        <v>389</v>
      </c>
    </row>
    <row r="263" spans="1:14" ht="15" x14ac:dyDescent="0.2">
      <c r="A263" s="144">
        <f t="shared" si="73"/>
        <v>229</v>
      </c>
      <c r="B263" s="144"/>
      <c r="C263" s="112"/>
      <c r="D263" s="105" t="s">
        <v>390</v>
      </c>
      <c r="E263" s="124">
        <v>140</v>
      </c>
      <c r="F263" s="124"/>
      <c r="G263" s="107">
        <f t="shared" si="76"/>
        <v>112</v>
      </c>
      <c r="H263" s="107">
        <f t="shared" si="77"/>
        <v>132</v>
      </c>
      <c r="I263" s="125">
        <v>21</v>
      </c>
      <c r="J263" s="125" t="s">
        <v>15</v>
      </c>
      <c r="K263" s="110"/>
      <c r="L263" s="125"/>
      <c r="M263" s="108"/>
      <c r="N263" s="108"/>
    </row>
    <row r="264" spans="1:14" ht="25.5" x14ac:dyDescent="0.2">
      <c r="A264" s="144">
        <f t="shared" si="73"/>
        <v>230</v>
      </c>
      <c r="B264" s="144"/>
      <c r="C264" s="112"/>
      <c r="D264" s="105" t="s">
        <v>391</v>
      </c>
      <c r="E264" s="124">
        <v>141</v>
      </c>
      <c r="F264" s="124"/>
      <c r="G264" s="107">
        <f t="shared" si="76"/>
        <v>133</v>
      </c>
      <c r="H264" s="107">
        <f t="shared" si="77"/>
        <v>141</v>
      </c>
      <c r="I264" s="125">
        <v>9</v>
      </c>
      <c r="J264" s="125" t="s">
        <v>15</v>
      </c>
      <c r="K264" s="110"/>
      <c r="L264" s="125">
        <v>4</v>
      </c>
      <c r="M264" s="108"/>
      <c r="N264" s="108" t="s">
        <v>392</v>
      </c>
    </row>
    <row r="265" spans="1:14" ht="25.5" x14ac:dyDescent="0.2">
      <c r="A265" s="144">
        <f t="shared" si="73"/>
        <v>231</v>
      </c>
      <c r="B265" s="144"/>
      <c r="C265" s="112"/>
      <c r="D265" s="105" t="s">
        <v>393</v>
      </c>
      <c r="E265" s="124">
        <v>142</v>
      </c>
      <c r="F265" s="124"/>
      <c r="G265" s="107">
        <f t="shared" si="76"/>
        <v>142</v>
      </c>
      <c r="H265" s="107">
        <f t="shared" si="77"/>
        <v>145</v>
      </c>
      <c r="I265" s="125">
        <v>4</v>
      </c>
      <c r="J265" s="125" t="s">
        <v>15</v>
      </c>
      <c r="K265" s="110"/>
      <c r="L265" s="125"/>
      <c r="M265" s="108"/>
      <c r="N265" s="108" t="s">
        <v>394</v>
      </c>
    </row>
    <row r="266" spans="1:14" ht="25.5" x14ac:dyDescent="0.2">
      <c r="A266" s="144">
        <f t="shared" si="73"/>
        <v>232</v>
      </c>
      <c r="B266" s="144"/>
      <c r="C266" s="112"/>
      <c r="D266" s="105" t="s">
        <v>395</v>
      </c>
      <c r="E266" s="124">
        <v>143</v>
      </c>
      <c r="F266" s="124"/>
      <c r="G266" s="107">
        <f t="shared" si="76"/>
        <v>146</v>
      </c>
      <c r="H266" s="107">
        <f t="shared" si="77"/>
        <v>154</v>
      </c>
      <c r="I266" s="125">
        <v>9</v>
      </c>
      <c r="J266" s="125" t="s">
        <v>15</v>
      </c>
      <c r="K266" s="110"/>
      <c r="L266" s="125"/>
      <c r="M266" s="108"/>
      <c r="N266" s="108" t="s">
        <v>396</v>
      </c>
    </row>
    <row r="267" spans="1:14" ht="15" x14ac:dyDescent="0.2">
      <c r="A267" s="144">
        <f t="shared" si="73"/>
        <v>233</v>
      </c>
      <c r="B267" s="144"/>
      <c r="C267" s="112"/>
      <c r="D267" s="105" t="s">
        <v>397</v>
      </c>
      <c r="E267" s="124">
        <v>144</v>
      </c>
      <c r="F267" s="124"/>
      <c r="G267" s="107">
        <f t="shared" si="76"/>
        <v>155</v>
      </c>
      <c r="H267" s="107">
        <f t="shared" si="77"/>
        <v>158</v>
      </c>
      <c r="I267" s="125">
        <v>4</v>
      </c>
      <c r="J267" s="125" t="s">
        <v>18</v>
      </c>
      <c r="K267" s="110"/>
      <c r="L267" s="125"/>
      <c r="M267" s="108"/>
      <c r="N267" s="108"/>
    </row>
    <row r="268" spans="1:14" ht="15" x14ac:dyDescent="0.2">
      <c r="A268" s="144">
        <f t="shared" si="73"/>
        <v>234</v>
      </c>
      <c r="B268" s="144"/>
      <c r="C268" s="112"/>
      <c r="D268" s="105" t="s">
        <v>398</v>
      </c>
      <c r="E268" s="124">
        <v>145</v>
      </c>
      <c r="F268" s="124"/>
      <c r="G268" s="107">
        <f t="shared" si="76"/>
        <v>159</v>
      </c>
      <c r="H268" s="107">
        <f t="shared" si="77"/>
        <v>162</v>
      </c>
      <c r="I268" s="125">
        <v>4</v>
      </c>
      <c r="J268" s="125" t="s">
        <v>18</v>
      </c>
      <c r="K268" s="110"/>
      <c r="L268" s="125"/>
      <c r="M268" s="108"/>
      <c r="N268" s="108"/>
    </row>
    <row r="269" spans="1:14" ht="15" x14ac:dyDescent="0.2">
      <c r="A269" s="144">
        <f t="shared" si="73"/>
        <v>235</v>
      </c>
      <c r="B269" s="144"/>
      <c r="C269" s="112"/>
      <c r="D269" s="105" t="s">
        <v>399</v>
      </c>
      <c r="E269" s="124">
        <v>146</v>
      </c>
      <c r="F269" s="124"/>
      <c r="G269" s="107">
        <f t="shared" si="76"/>
        <v>163</v>
      </c>
      <c r="H269" s="107">
        <f t="shared" si="77"/>
        <v>163</v>
      </c>
      <c r="I269" s="125">
        <v>1</v>
      </c>
      <c r="J269" s="125" t="s">
        <v>15</v>
      </c>
      <c r="K269" s="110"/>
      <c r="L269" s="125"/>
      <c r="M269" s="108"/>
      <c r="N269" s="108"/>
    </row>
    <row r="270" spans="1:14" ht="15" x14ac:dyDescent="0.2">
      <c r="A270" s="144">
        <f t="shared" si="73"/>
        <v>236</v>
      </c>
      <c r="B270" s="144"/>
      <c r="C270" s="112"/>
      <c r="D270" s="105" t="s">
        <v>400</v>
      </c>
      <c r="E270" s="124">
        <v>147</v>
      </c>
      <c r="F270" s="124"/>
      <c r="G270" s="107">
        <f t="shared" si="76"/>
        <v>164</v>
      </c>
      <c r="H270" s="107">
        <f t="shared" si="77"/>
        <v>165</v>
      </c>
      <c r="I270" s="125">
        <v>2</v>
      </c>
      <c r="J270" s="125" t="s">
        <v>18</v>
      </c>
      <c r="K270" s="110"/>
      <c r="L270" s="125"/>
      <c r="M270" s="108"/>
      <c r="N270" s="108" t="s">
        <v>401</v>
      </c>
    </row>
    <row r="271" spans="1:14" ht="15" x14ac:dyDescent="0.2">
      <c r="A271" s="144">
        <f t="shared" si="73"/>
        <v>237</v>
      </c>
      <c r="B271" s="144"/>
      <c r="C271" s="112"/>
      <c r="D271" s="105" t="s">
        <v>402</v>
      </c>
      <c r="E271" s="124">
        <v>148</v>
      </c>
      <c r="F271" s="124"/>
      <c r="G271" s="107">
        <f t="shared" si="76"/>
        <v>166</v>
      </c>
      <c r="H271" s="107">
        <f t="shared" si="77"/>
        <v>166</v>
      </c>
      <c r="I271" s="125">
        <v>1</v>
      </c>
      <c r="J271" s="125" t="s">
        <v>18</v>
      </c>
      <c r="K271" s="110"/>
      <c r="L271" s="125"/>
      <c r="M271" s="108"/>
      <c r="N271" s="108" t="s">
        <v>401</v>
      </c>
    </row>
    <row r="272" spans="1:14" ht="51" x14ac:dyDescent="0.2">
      <c r="A272" s="144">
        <f t="shared" si="73"/>
        <v>238</v>
      </c>
      <c r="B272" s="144"/>
      <c r="C272" s="112"/>
      <c r="D272" s="105" t="s">
        <v>403</v>
      </c>
      <c r="E272" s="124">
        <v>149</v>
      </c>
      <c r="F272" s="124"/>
      <c r="G272" s="107">
        <f t="shared" si="76"/>
        <v>167</v>
      </c>
      <c r="H272" s="107">
        <f t="shared" si="77"/>
        <v>167</v>
      </c>
      <c r="I272" s="125">
        <v>1</v>
      </c>
      <c r="J272" s="125" t="s">
        <v>15</v>
      </c>
      <c r="K272" s="110"/>
      <c r="L272" s="125"/>
      <c r="M272" s="108"/>
      <c r="N272" s="108" t="s">
        <v>404</v>
      </c>
    </row>
    <row r="273" spans="1:101" ht="38.25" x14ac:dyDescent="0.2">
      <c r="A273" s="144">
        <f t="shared" si="73"/>
        <v>239</v>
      </c>
      <c r="B273" s="144"/>
      <c r="C273" s="112"/>
      <c r="D273" s="105" t="s">
        <v>405</v>
      </c>
      <c r="E273" s="124">
        <v>150</v>
      </c>
      <c r="F273" s="124"/>
      <c r="G273" s="107">
        <f t="shared" si="76"/>
        <v>168</v>
      </c>
      <c r="H273" s="107">
        <f t="shared" ref="H273:H278" si="78">H272+I273</f>
        <v>168</v>
      </c>
      <c r="I273" s="125">
        <v>1</v>
      </c>
      <c r="J273" s="125" t="s">
        <v>18</v>
      </c>
      <c r="K273" s="110"/>
      <c r="L273" s="125"/>
      <c r="M273" s="108"/>
      <c r="N273" s="108" t="s">
        <v>406</v>
      </c>
    </row>
    <row r="274" spans="1:101" ht="15" x14ac:dyDescent="0.2">
      <c r="A274" s="144">
        <f t="shared" si="73"/>
        <v>240</v>
      </c>
      <c r="B274" s="144"/>
      <c r="C274" s="112"/>
      <c r="D274" s="105" t="s">
        <v>407</v>
      </c>
      <c r="E274" s="124">
        <v>151</v>
      </c>
      <c r="F274" s="124"/>
      <c r="G274" s="107">
        <f t="shared" si="76"/>
        <v>169</v>
      </c>
      <c r="H274" s="107">
        <f t="shared" si="78"/>
        <v>174</v>
      </c>
      <c r="I274" s="125">
        <v>6</v>
      </c>
      <c r="J274" s="125" t="s">
        <v>18</v>
      </c>
      <c r="K274" s="110"/>
      <c r="L274" s="125"/>
      <c r="M274" s="108"/>
      <c r="N274" s="108" t="s">
        <v>401</v>
      </c>
    </row>
    <row r="275" spans="1:101" ht="216.75" x14ac:dyDescent="0.2">
      <c r="A275" s="144">
        <f t="shared" si="73"/>
        <v>241</v>
      </c>
      <c r="B275" s="144"/>
      <c r="C275" s="112"/>
      <c r="D275" s="112" t="s">
        <v>408</v>
      </c>
      <c r="E275" s="106" t="s">
        <v>409</v>
      </c>
      <c r="F275" s="106"/>
      <c r="G275" s="107">
        <f>H274+1</f>
        <v>175</v>
      </c>
      <c r="H275" s="107">
        <f t="shared" si="78"/>
        <v>176</v>
      </c>
      <c r="I275" s="107">
        <v>2</v>
      </c>
      <c r="J275" s="107" t="s">
        <v>15</v>
      </c>
      <c r="K275" s="106"/>
      <c r="L275" s="107"/>
      <c r="M275" s="108"/>
      <c r="N275" s="108" t="s">
        <v>410</v>
      </c>
    </row>
    <row r="276" spans="1:101" x14ac:dyDescent="0.2">
      <c r="A276" s="144">
        <f t="shared" si="73"/>
        <v>242</v>
      </c>
      <c r="B276" s="144"/>
      <c r="C276" s="112"/>
      <c r="D276" s="112" t="s">
        <v>411</v>
      </c>
      <c r="E276" s="106" t="s">
        <v>412</v>
      </c>
      <c r="F276" s="106"/>
      <c r="G276" s="107">
        <f>H275+1</f>
        <v>177</v>
      </c>
      <c r="H276" s="107">
        <f t="shared" si="78"/>
        <v>179</v>
      </c>
      <c r="I276" s="107">
        <v>3</v>
      </c>
      <c r="J276" s="107" t="s">
        <v>15</v>
      </c>
      <c r="K276" s="106"/>
      <c r="L276" s="107"/>
      <c r="M276" s="108"/>
      <c r="N276" s="108" t="s">
        <v>413</v>
      </c>
    </row>
    <row r="277" spans="1:101" x14ac:dyDescent="0.2">
      <c r="A277" s="144">
        <f t="shared" si="73"/>
        <v>243</v>
      </c>
      <c r="B277" s="144"/>
      <c r="C277" s="112"/>
      <c r="D277" s="112" t="s">
        <v>414</v>
      </c>
      <c r="E277" s="106" t="s">
        <v>415</v>
      </c>
      <c r="F277" s="106"/>
      <c r="G277" s="107">
        <f>H276+1</f>
        <v>180</v>
      </c>
      <c r="H277" s="107">
        <f t="shared" si="78"/>
        <v>180</v>
      </c>
      <c r="I277" s="107">
        <v>1</v>
      </c>
      <c r="J277" s="107" t="s">
        <v>15</v>
      </c>
      <c r="K277" s="106"/>
      <c r="L277" s="107"/>
      <c r="M277" s="108"/>
      <c r="N277" s="108" t="s">
        <v>1492</v>
      </c>
    </row>
    <row r="278" spans="1:101" s="143" customFormat="1" ht="89.25" x14ac:dyDescent="0.2">
      <c r="A278" s="144">
        <f t="shared" si="73"/>
        <v>244</v>
      </c>
      <c r="B278" s="144"/>
      <c r="C278" s="120"/>
      <c r="D278" s="120" t="s">
        <v>417</v>
      </c>
      <c r="E278" s="170" t="s">
        <v>14</v>
      </c>
      <c r="F278" s="170"/>
      <c r="G278" s="101">
        <f>H277+1</f>
        <v>181</v>
      </c>
      <c r="H278" s="101">
        <f t="shared" si="78"/>
        <v>189</v>
      </c>
      <c r="I278" s="101">
        <v>9</v>
      </c>
      <c r="J278" s="101" t="s">
        <v>15</v>
      </c>
      <c r="K278" s="170"/>
      <c r="L278" s="101"/>
      <c r="M278" s="102"/>
      <c r="N278" s="102" t="s">
        <v>418</v>
      </c>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row>
    <row r="279" spans="1:101" ht="15" x14ac:dyDescent="0.2">
      <c r="A279" s="288">
        <f t="shared" si="73"/>
        <v>245</v>
      </c>
      <c r="B279" s="292"/>
      <c r="C279" s="293"/>
      <c r="D279" s="294" t="s">
        <v>28</v>
      </c>
      <c r="E279" s="289" t="s">
        <v>14</v>
      </c>
      <c r="F279" s="289"/>
      <c r="G279" s="290">
        <f>H278+1</f>
        <v>190</v>
      </c>
      <c r="H279" s="290">
        <v>600</v>
      </c>
      <c r="I279" s="290">
        <f>H279-H278</f>
        <v>411</v>
      </c>
      <c r="J279" s="290" t="s">
        <v>15</v>
      </c>
      <c r="K279" s="289"/>
      <c r="L279" s="290"/>
      <c r="M279" s="291"/>
      <c r="N279" s="295" t="s">
        <v>29</v>
      </c>
    </row>
    <row r="280" spans="1:101" ht="14.45" customHeight="1" x14ac:dyDescent="0.2">
      <c r="A280" s="324"/>
      <c r="B280" s="325"/>
      <c r="C280" s="325"/>
      <c r="D280" s="325"/>
      <c r="E280" s="325"/>
      <c r="F280" s="325"/>
      <c r="G280" s="325"/>
      <c r="H280" s="325"/>
      <c r="I280" s="325"/>
      <c r="J280" s="325"/>
      <c r="K280" s="325"/>
      <c r="L280" s="325"/>
      <c r="M280" s="325"/>
      <c r="N280" s="326"/>
    </row>
    <row r="281" spans="1:101" x14ac:dyDescent="0.2">
      <c r="A281" s="144">
        <f>A279+1</f>
        <v>246</v>
      </c>
      <c r="B281" s="144"/>
      <c r="C281" s="163" t="s">
        <v>419</v>
      </c>
      <c r="D281" s="164"/>
      <c r="E281" s="106" t="s">
        <v>14</v>
      </c>
      <c r="F281" s="106"/>
      <c r="G281" s="107">
        <f>$H$16+1</f>
        <v>7</v>
      </c>
      <c r="H281" s="107">
        <f>I281+$H$16</f>
        <v>9</v>
      </c>
      <c r="I281" s="107">
        <v>3</v>
      </c>
      <c r="J281" s="107" t="s">
        <v>18</v>
      </c>
      <c r="K281" s="106"/>
      <c r="L281" s="107"/>
      <c r="M281" s="108"/>
      <c r="N281" s="168" t="s">
        <v>420</v>
      </c>
    </row>
    <row r="282" spans="1:101" ht="15" x14ac:dyDescent="0.2">
      <c r="A282" s="144">
        <f t="shared" si="73"/>
        <v>247</v>
      </c>
      <c r="B282" s="144"/>
      <c r="C282" s="112"/>
      <c r="D282" s="166" t="s">
        <v>267</v>
      </c>
      <c r="E282" s="110">
        <v>99</v>
      </c>
      <c r="F282" s="110"/>
      <c r="G282" s="107">
        <f t="shared" ref="G282:G287" si="79">H281+1</f>
        <v>10</v>
      </c>
      <c r="H282" s="107">
        <f t="shared" ref="H282:H287" si="80">H281+I282</f>
        <v>12</v>
      </c>
      <c r="I282" s="111">
        <v>3</v>
      </c>
      <c r="J282" s="111" t="s">
        <v>18</v>
      </c>
      <c r="K282" s="124"/>
      <c r="L282" s="107"/>
      <c r="M282" s="108"/>
      <c r="N282" s="108" t="s">
        <v>268</v>
      </c>
    </row>
    <row r="283" spans="1:101" ht="15" x14ac:dyDescent="0.2">
      <c r="A283" s="144">
        <f t="shared" si="73"/>
        <v>248</v>
      </c>
      <c r="B283" s="144"/>
      <c r="C283" s="112"/>
      <c r="D283" s="105" t="s">
        <v>421</v>
      </c>
      <c r="E283" s="124">
        <v>153</v>
      </c>
      <c r="F283" s="124"/>
      <c r="G283" s="107">
        <f t="shared" si="79"/>
        <v>13</v>
      </c>
      <c r="H283" s="107">
        <f t="shared" si="80"/>
        <v>32</v>
      </c>
      <c r="I283" s="125">
        <v>20</v>
      </c>
      <c r="J283" s="125" t="s">
        <v>15</v>
      </c>
      <c r="K283" s="110"/>
      <c r="L283" s="125"/>
      <c r="M283" s="108"/>
      <c r="N283" s="108" t="s">
        <v>422</v>
      </c>
    </row>
    <row r="284" spans="1:101" ht="15" x14ac:dyDescent="0.2">
      <c r="A284" s="144">
        <f t="shared" si="73"/>
        <v>249</v>
      </c>
      <c r="B284" s="144"/>
      <c r="C284" s="112"/>
      <c r="D284" s="105" t="s">
        <v>423</v>
      </c>
      <c r="E284" s="124">
        <v>154</v>
      </c>
      <c r="F284" s="124"/>
      <c r="G284" s="107">
        <f t="shared" si="79"/>
        <v>33</v>
      </c>
      <c r="H284" s="107">
        <f t="shared" si="80"/>
        <v>43</v>
      </c>
      <c r="I284" s="125">
        <v>11</v>
      </c>
      <c r="J284" s="125" t="s">
        <v>18</v>
      </c>
      <c r="K284" s="110"/>
      <c r="L284" s="125">
        <v>3</v>
      </c>
      <c r="M284" s="108"/>
      <c r="N284" s="108" t="s">
        <v>422</v>
      </c>
    </row>
    <row r="285" spans="1:101" ht="15" x14ac:dyDescent="0.2">
      <c r="A285" s="144">
        <f t="shared" si="73"/>
        <v>250</v>
      </c>
      <c r="B285" s="144"/>
      <c r="C285" s="112"/>
      <c r="D285" s="105" t="s">
        <v>424</v>
      </c>
      <c r="E285" s="124">
        <v>155</v>
      </c>
      <c r="F285" s="124"/>
      <c r="G285" s="107">
        <f t="shared" si="79"/>
        <v>44</v>
      </c>
      <c r="H285" s="107">
        <f t="shared" si="80"/>
        <v>53</v>
      </c>
      <c r="I285" s="125">
        <v>10</v>
      </c>
      <c r="J285" s="125" t="s">
        <v>106</v>
      </c>
      <c r="K285" s="110"/>
      <c r="L285" s="125"/>
      <c r="M285" s="108" t="s">
        <v>107</v>
      </c>
      <c r="N285" s="108" t="s">
        <v>422</v>
      </c>
    </row>
    <row r="286" spans="1:101" ht="15" x14ac:dyDescent="0.2">
      <c r="A286" s="144">
        <f t="shared" si="73"/>
        <v>251</v>
      </c>
      <c r="B286" s="144"/>
      <c r="C286" s="112"/>
      <c r="D286" s="105" t="s">
        <v>425</v>
      </c>
      <c r="E286" s="124">
        <v>156</v>
      </c>
      <c r="F286" s="124"/>
      <c r="G286" s="107">
        <f t="shared" si="79"/>
        <v>54</v>
      </c>
      <c r="H286" s="107">
        <f t="shared" si="80"/>
        <v>63</v>
      </c>
      <c r="I286" s="125">
        <v>10</v>
      </c>
      <c r="J286" s="125" t="s">
        <v>106</v>
      </c>
      <c r="K286" s="110"/>
      <c r="L286" s="125"/>
      <c r="M286" s="108" t="s">
        <v>107</v>
      </c>
      <c r="N286" s="108" t="s">
        <v>422</v>
      </c>
    </row>
    <row r="287" spans="1:101" ht="15" x14ac:dyDescent="0.2">
      <c r="A287" s="144">
        <f t="shared" si="73"/>
        <v>252</v>
      </c>
      <c r="B287" s="144"/>
      <c r="C287" s="112"/>
      <c r="D287" s="105" t="s">
        <v>426</v>
      </c>
      <c r="E287" s="124">
        <v>157</v>
      </c>
      <c r="F287" s="124"/>
      <c r="G287" s="107">
        <f t="shared" si="79"/>
        <v>64</v>
      </c>
      <c r="H287" s="107">
        <f t="shared" si="80"/>
        <v>78</v>
      </c>
      <c r="I287" s="125">
        <v>15</v>
      </c>
      <c r="J287" s="125" t="s">
        <v>18</v>
      </c>
      <c r="K287" s="110"/>
      <c r="L287" s="125">
        <v>2</v>
      </c>
      <c r="M287" s="108"/>
      <c r="N287" s="108"/>
    </row>
    <row r="288" spans="1:101" ht="15" x14ac:dyDescent="0.2">
      <c r="A288" s="144">
        <f t="shared" si="73"/>
        <v>253</v>
      </c>
      <c r="B288" s="144"/>
      <c r="C288" s="112"/>
      <c r="D288" s="105" t="s">
        <v>427</v>
      </c>
      <c r="E288" s="124" t="s">
        <v>428</v>
      </c>
      <c r="F288" s="124"/>
      <c r="G288" s="107">
        <f t="shared" ref="G288:G289" si="81">H287+1</f>
        <v>79</v>
      </c>
      <c r="H288" s="107">
        <f t="shared" ref="H288" si="82">H287+I288</f>
        <v>91</v>
      </c>
      <c r="I288" s="125">
        <v>13</v>
      </c>
      <c r="J288" s="125" t="s">
        <v>15</v>
      </c>
      <c r="K288" s="110"/>
      <c r="L288" s="125"/>
      <c r="M288" s="108"/>
      <c r="N288" s="108" t="s">
        <v>429</v>
      </c>
    </row>
    <row r="289" spans="1:14" ht="15" x14ac:dyDescent="0.2">
      <c r="A289" s="288">
        <f t="shared" si="73"/>
        <v>254</v>
      </c>
      <c r="B289" s="292"/>
      <c r="C289" s="293"/>
      <c r="D289" s="294" t="s">
        <v>28</v>
      </c>
      <c r="E289" s="289" t="s">
        <v>14</v>
      </c>
      <c r="F289" s="289"/>
      <c r="G289" s="290">
        <f t="shared" si="81"/>
        <v>92</v>
      </c>
      <c r="H289" s="290">
        <v>600</v>
      </c>
      <c r="I289" s="290">
        <f>H289-H288</f>
        <v>509</v>
      </c>
      <c r="J289" s="290" t="s">
        <v>15</v>
      </c>
      <c r="K289" s="289"/>
      <c r="L289" s="290"/>
      <c r="M289" s="291"/>
      <c r="N289" s="295" t="s">
        <v>29</v>
      </c>
    </row>
    <row r="290" spans="1:14" ht="14.45" customHeight="1" x14ac:dyDescent="0.2">
      <c r="A290" s="324"/>
      <c r="B290" s="325"/>
      <c r="C290" s="325"/>
      <c r="D290" s="325"/>
      <c r="E290" s="325"/>
      <c r="F290" s="325"/>
      <c r="G290" s="325"/>
      <c r="H290" s="325"/>
      <c r="I290" s="325"/>
      <c r="J290" s="325"/>
      <c r="K290" s="325"/>
      <c r="L290" s="325"/>
      <c r="M290" s="325"/>
      <c r="N290" s="326"/>
    </row>
    <row r="291" spans="1:14" x14ac:dyDescent="0.2">
      <c r="A291" s="144">
        <f>A289+1</f>
        <v>255</v>
      </c>
      <c r="B291" s="144"/>
      <c r="C291" s="163" t="s">
        <v>430</v>
      </c>
      <c r="D291" s="164"/>
      <c r="E291" s="106" t="s">
        <v>14</v>
      </c>
      <c r="F291" s="106"/>
      <c r="G291" s="107">
        <f>$H$16+1</f>
        <v>7</v>
      </c>
      <c r="H291" s="107">
        <f>I291+$H$16</f>
        <v>9</v>
      </c>
      <c r="I291" s="107">
        <v>3</v>
      </c>
      <c r="J291" s="107" t="s">
        <v>18</v>
      </c>
      <c r="K291" s="106"/>
      <c r="L291" s="107"/>
      <c r="M291" s="108"/>
      <c r="N291" s="168" t="s">
        <v>431</v>
      </c>
    </row>
    <row r="292" spans="1:14" ht="15" x14ac:dyDescent="0.2">
      <c r="A292" s="144">
        <f t="shared" si="73"/>
        <v>256</v>
      </c>
      <c r="B292" s="144"/>
      <c r="C292" s="112"/>
      <c r="D292" s="166" t="s">
        <v>267</v>
      </c>
      <c r="E292" s="110">
        <v>99</v>
      </c>
      <c r="F292" s="110"/>
      <c r="G292" s="107">
        <f t="shared" ref="G292:G296" si="83">H291+1</f>
        <v>10</v>
      </c>
      <c r="H292" s="107">
        <f t="shared" ref="H292:H296" si="84">H291+I292</f>
        <v>12</v>
      </c>
      <c r="I292" s="111">
        <v>3</v>
      </c>
      <c r="J292" s="111" t="s">
        <v>18</v>
      </c>
      <c r="K292" s="124"/>
      <c r="L292" s="107"/>
      <c r="M292" s="108"/>
      <c r="N292" s="108" t="s">
        <v>268</v>
      </c>
    </row>
    <row r="293" spans="1:14" ht="38.25" x14ac:dyDescent="0.2">
      <c r="A293" s="144">
        <f t="shared" si="73"/>
        <v>257</v>
      </c>
      <c r="B293" s="144"/>
      <c r="C293" s="112"/>
      <c r="D293" s="105" t="s">
        <v>432</v>
      </c>
      <c r="E293" s="185" t="s">
        <v>433</v>
      </c>
      <c r="F293" s="185"/>
      <c r="G293" s="107">
        <f t="shared" si="83"/>
        <v>13</v>
      </c>
      <c r="H293" s="107">
        <f t="shared" si="84"/>
        <v>21</v>
      </c>
      <c r="I293" s="125">
        <v>9</v>
      </c>
      <c r="J293" s="125" t="s">
        <v>18</v>
      </c>
      <c r="K293" s="110"/>
      <c r="L293" s="125"/>
      <c r="M293" s="108"/>
      <c r="N293" s="108" t="s">
        <v>434</v>
      </c>
    </row>
    <row r="294" spans="1:14" ht="25.5" x14ac:dyDescent="0.2">
      <c r="A294" s="144">
        <f t="shared" si="73"/>
        <v>258</v>
      </c>
      <c r="B294" s="144"/>
      <c r="C294" s="112"/>
      <c r="D294" s="105" t="s">
        <v>435</v>
      </c>
      <c r="E294" s="185" t="s">
        <v>436</v>
      </c>
      <c r="F294" s="185"/>
      <c r="G294" s="107">
        <f t="shared" si="83"/>
        <v>22</v>
      </c>
      <c r="H294" s="107">
        <f t="shared" si="84"/>
        <v>42</v>
      </c>
      <c r="I294" s="125">
        <v>21</v>
      </c>
      <c r="J294" s="125" t="s">
        <v>18</v>
      </c>
      <c r="K294" s="110"/>
      <c r="L294" s="125"/>
      <c r="M294" s="108"/>
      <c r="N294" s="108" t="s">
        <v>437</v>
      </c>
    </row>
    <row r="295" spans="1:14" ht="15" x14ac:dyDescent="0.2">
      <c r="A295" s="144">
        <f t="shared" si="73"/>
        <v>259</v>
      </c>
      <c r="B295" s="144"/>
      <c r="C295" s="112"/>
      <c r="D295" s="105" t="s">
        <v>438</v>
      </c>
      <c r="E295" s="185" t="s">
        <v>439</v>
      </c>
      <c r="F295" s="185"/>
      <c r="G295" s="107">
        <f t="shared" si="83"/>
        <v>43</v>
      </c>
      <c r="H295" s="107">
        <f t="shared" si="84"/>
        <v>58</v>
      </c>
      <c r="I295" s="125">
        <v>16</v>
      </c>
      <c r="J295" s="125" t="s">
        <v>18</v>
      </c>
      <c r="K295" s="110"/>
      <c r="L295" s="125">
        <v>4</v>
      </c>
      <c r="M295" s="108"/>
      <c r="N295" s="108" t="s">
        <v>440</v>
      </c>
    </row>
    <row r="296" spans="1:14" ht="15" x14ac:dyDescent="0.2">
      <c r="A296" s="144">
        <f t="shared" si="73"/>
        <v>260</v>
      </c>
      <c r="B296" s="144"/>
      <c r="C296" s="112"/>
      <c r="D296" s="105" t="s">
        <v>441</v>
      </c>
      <c r="E296" s="185" t="s">
        <v>442</v>
      </c>
      <c r="F296" s="185"/>
      <c r="G296" s="107">
        <f t="shared" si="83"/>
        <v>59</v>
      </c>
      <c r="H296" s="107">
        <f t="shared" si="84"/>
        <v>60</v>
      </c>
      <c r="I296" s="125">
        <v>2</v>
      </c>
      <c r="J296" s="125" t="s">
        <v>15</v>
      </c>
      <c r="K296" s="110"/>
      <c r="L296" s="125"/>
      <c r="M296" s="108"/>
      <c r="N296" s="108" t="s">
        <v>440</v>
      </c>
    </row>
    <row r="297" spans="1:14" ht="15" x14ac:dyDescent="0.2">
      <c r="A297" s="144">
        <f t="shared" si="73"/>
        <v>261</v>
      </c>
      <c r="B297" s="144"/>
      <c r="C297" s="112"/>
      <c r="D297" s="105" t="s">
        <v>443</v>
      </c>
      <c r="E297" s="185" t="s">
        <v>444</v>
      </c>
      <c r="F297" s="185"/>
      <c r="G297" s="107">
        <f>H296+1</f>
        <v>61</v>
      </c>
      <c r="H297" s="107">
        <f>H296+I297</f>
        <v>76</v>
      </c>
      <c r="I297" s="125">
        <v>16</v>
      </c>
      <c r="J297" s="125" t="s">
        <v>18</v>
      </c>
      <c r="K297" s="110"/>
      <c r="L297" s="125">
        <v>4</v>
      </c>
      <c r="M297" s="108"/>
      <c r="N297" s="108" t="s">
        <v>445</v>
      </c>
    </row>
    <row r="298" spans="1:14" ht="15" x14ac:dyDescent="0.2">
      <c r="A298" s="144">
        <f t="shared" si="73"/>
        <v>262</v>
      </c>
      <c r="B298" s="144"/>
      <c r="C298" s="112"/>
      <c r="D298" s="105" t="s">
        <v>446</v>
      </c>
      <c r="E298" s="185" t="s">
        <v>447</v>
      </c>
      <c r="F298" s="185"/>
      <c r="G298" s="107">
        <f t="shared" ref="G298:G299" si="85">H297+1</f>
        <v>77</v>
      </c>
      <c r="H298" s="107">
        <f t="shared" ref="H298:H299" si="86">H297+I298</f>
        <v>91</v>
      </c>
      <c r="I298" s="125">
        <v>15</v>
      </c>
      <c r="J298" s="125" t="s">
        <v>18</v>
      </c>
      <c r="K298" s="110"/>
      <c r="L298" s="125">
        <v>4</v>
      </c>
      <c r="M298" s="108"/>
      <c r="N298" s="108" t="s">
        <v>448</v>
      </c>
    </row>
    <row r="299" spans="1:14" ht="15" x14ac:dyDescent="0.2">
      <c r="A299" s="144">
        <f t="shared" si="73"/>
        <v>263</v>
      </c>
      <c r="B299" s="144"/>
      <c r="C299" s="112"/>
      <c r="D299" s="105" t="s">
        <v>449</v>
      </c>
      <c r="E299" s="185" t="s">
        <v>450</v>
      </c>
      <c r="F299" s="185"/>
      <c r="G299" s="107">
        <f t="shared" si="85"/>
        <v>92</v>
      </c>
      <c r="H299" s="107">
        <f t="shared" si="86"/>
        <v>106</v>
      </c>
      <c r="I299" s="125">
        <v>15</v>
      </c>
      <c r="J299" s="125" t="s">
        <v>18</v>
      </c>
      <c r="K299" s="110"/>
      <c r="L299" s="125">
        <v>2</v>
      </c>
      <c r="M299" s="108"/>
      <c r="N299" s="108" t="s">
        <v>451</v>
      </c>
    </row>
    <row r="300" spans="1:14" s="117" customFormat="1" ht="15" x14ac:dyDescent="0.2">
      <c r="A300" s="144">
        <f t="shared" si="73"/>
        <v>264</v>
      </c>
      <c r="B300" s="144"/>
      <c r="C300" s="112"/>
      <c r="D300" s="105" t="s">
        <v>452</v>
      </c>
      <c r="E300" s="124" t="s">
        <v>453</v>
      </c>
      <c r="F300" s="124"/>
      <c r="G300" s="107">
        <f t="shared" ref="G300:G307" si="87">H299+1</f>
        <v>107</v>
      </c>
      <c r="H300" s="107">
        <f t="shared" ref="H300:H306" si="88">H299+I300</f>
        <v>112</v>
      </c>
      <c r="I300" s="125">
        <v>6</v>
      </c>
      <c r="J300" s="125" t="s">
        <v>18</v>
      </c>
      <c r="K300" s="110"/>
      <c r="L300" s="110" t="s">
        <v>454</v>
      </c>
      <c r="M300" s="108"/>
      <c r="N300" s="108" t="s">
        <v>455</v>
      </c>
    </row>
    <row r="301" spans="1:14" s="117" customFormat="1" ht="15" x14ac:dyDescent="0.2">
      <c r="A301" s="144">
        <f t="shared" si="73"/>
        <v>265</v>
      </c>
      <c r="B301" s="144"/>
      <c r="C301" s="112"/>
      <c r="D301" s="105" t="s">
        <v>456</v>
      </c>
      <c r="E301" s="124" t="s">
        <v>453</v>
      </c>
      <c r="F301" s="124"/>
      <c r="G301" s="107">
        <f t="shared" si="87"/>
        <v>113</v>
      </c>
      <c r="H301" s="107">
        <f t="shared" si="88"/>
        <v>207</v>
      </c>
      <c r="I301" s="125">
        <v>95</v>
      </c>
      <c r="J301" s="125" t="s">
        <v>15</v>
      </c>
      <c r="K301" s="110"/>
      <c r="L301" s="110"/>
      <c r="M301" s="108"/>
      <c r="N301" s="108" t="s">
        <v>457</v>
      </c>
    </row>
    <row r="302" spans="1:14" s="117" customFormat="1" ht="15" x14ac:dyDescent="0.2">
      <c r="A302" s="144">
        <f t="shared" si="73"/>
        <v>266</v>
      </c>
      <c r="B302" s="144"/>
      <c r="C302" s="112"/>
      <c r="D302" s="105" t="s">
        <v>458</v>
      </c>
      <c r="E302" s="124" t="s">
        <v>459</v>
      </c>
      <c r="F302" s="124"/>
      <c r="G302" s="107">
        <f t="shared" si="87"/>
        <v>208</v>
      </c>
      <c r="H302" s="107">
        <f t="shared" si="88"/>
        <v>212</v>
      </c>
      <c r="I302" s="125">
        <v>5</v>
      </c>
      <c r="J302" s="125" t="s">
        <v>18</v>
      </c>
      <c r="K302" s="110"/>
      <c r="L302" s="110" t="s">
        <v>454</v>
      </c>
      <c r="M302" s="108"/>
      <c r="N302" s="108" t="s">
        <v>460</v>
      </c>
    </row>
    <row r="303" spans="1:14" s="117" customFormat="1" ht="15" x14ac:dyDescent="0.2">
      <c r="A303" s="144">
        <f t="shared" si="73"/>
        <v>267</v>
      </c>
      <c r="B303" s="144"/>
      <c r="C303" s="112"/>
      <c r="D303" s="105" t="s">
        <v>461</v>
      </c>
      <c r="E303" s="124" t="s">
        <v>462</v>
      </c>
      <c r="F303" s="124"/>
      <c r="G303" s="107">
        <f t="shared" si="87"/>
        <v>213</v>
      </c>
      <c r="H303" s="107">
        <f t="shared" si="88"/>
        <v>217</v>
      </c>
      <c r="I303" s="125">
        <v>5</v>
      </c>
      <c r="J303" s="125" t="s">
        <v>18</v>
      </c>
      <c r="K303" s="110"/>
      <c r="L303" s="110" t="s">
        <v>454</v>
      </c>
      <c r="M303" s="108"/>
      <c r="N303" s="108" t="s">
        <v>463</v>
      </c>
    </row>
    <row r="304" spans="1:14" s="117" customFormat="1" ht="15" x14ac:dyDescent="0.2">
      <c r="A304" s="144">
        <f t="shared" si="73"/>
        <v>268</v>
      </c>
      <c r="B304" s="144"/>
      <c r="C304" s="112"/>
      <c r="D304" s="105" t="s">
        <v>464</v>
      </c>
      <c r="E304" s="124" t="s">
        <v>465</v>
      </c>
      <c r="F304" s="124"/>
      <c r="G304" s="107">
        <f t="shared" si="87"/>
        <v>218</v>
      </c>
      <c r="H304" s="107">
        <f t="shared" si="88"/>
        <v>222</v>
      </c>
      <c r="I304" s="125">
        <v>5</v>
      </c>
      <c r="J304" s="125" t="s">
        <v>18</v>
      </c>
      <c r="K304" s="110"/>
      <c r="L304" s="110" t="s">
        <v>454</v>
      </c>
      <c r="M304" s="108"/>
      <c r="N304" s="108" t="s">
        <v>466</v>
      </c>
    </row>
    <row r="305" spans="1:14" s="117" customFormat="1" ht="15" x14ac:dyDescent="0.2">
      <c r="A305" s="144">
        <f t="shared" si="73"/>
        <v>269</v>
      </c>
      <c r="B305" s="144"/>
      <c r="C305" s="112"/>
      <c r="D305" s="105" t="s">
        <v>467</v>
      </c>
      <c r="E305" s="124" t="s">
        <v>468</v>
      </c>
      <c r="F305" s="124"/>
      <c r="G305" s="107">
        <f t="shared" si="87"/>
        <v>223</v>
      </c>
      <c r="H305" s="107">
        <f t="shared" si="88"/>
        <v>237</v>
      </c>
      <c r="I305" s="125">
        <v>15</v>
      </c>
      <c r="J305" s="125" t="s">
        <v>18</v>
      </c>
      <c r="K305" s="110"/>
      <c r="L305" s="110" t="s">
        <v>469</v>
      </c>
      <c r="M305" s="108"/>
      <c r="N305" s="108" t="s">
        <v>470</v>
      </c>
    </row>
    <row r="306" spans="1:14" s="117" customFormat="1" ht="25.5" x14ac:dyDescent="0.2">
      <c r="A306" s="144">
        <f t="shared" si="73"/>
        <v>270</v>
      </c>
      <c r="B306" s="144"/>
      <c r="C306" s="112"/>
      <c r="D306" s="105" t="s">
        <v>471</v>
      </c>
      <c r="E306" s="124" t="s">
        <v>436</v>
      </c>
      <c r="F306" s="124"/>
      <c r="G306" s="107">
        <f t="shared" si="87"/>
        <v>238</v>
      </c>
      <c r="H306" s="107">
        <f t="shared" si="88"/>
        <v>258</v>
      </c>
      <c r="I306" s="125">
        <v>21</v>
      </c>
      <c r="J306" s="125" t="s">
        <v>18</v>
      </c>
      <c r="K306" s="110"/>
      <c r="L306" s="110"/>
      <c r="M306" s="108"/>
      <c r="N306" s="108" t="s">
        <v>472</v>
      </c>
    </row>
    <row r="307" spans="1:14" ht="15" x14ac:dyDescent="0.2">
      <c r="A307" s="288">
        <f t="shared" si="73"/>
        <v>271</v>
      </c>
      <c r="B307" s="292"/>
      <c r="C307" s="293"/>
      <c r="D307" s="294" t="s">
        <v>28</v>
      </c>
      <c r="E307" s="289" t="s">
        <v>14</v>
      </c>
      <c r="F307" s="289"/>
      <c r="G307" s="290">
        <f t="shared" si="87"/>
        <v>259</v>
      </c>
      <c r="H307" s="290">
        <v>600</v>
      </c>
      <c r="I307" s="290">
        <f>H307-H306</f>
        <v>342</v>
      </c>
      <c r="J307" s="290" t="s">
        <v>15</v>
      </c>
      <c r="K307" s="289"/>
      <c r="L307" s="290"/>
      <c r="M307" s="291"/>
      <c r="N307" s="295" t="s">
        <v>29</v>
      </c>
    </row>
    <row r="308" spans="1:14" ht="17.25" customHeight="1" x14ac:dyDescent="0.2">
      <c r="A308" s="144">
        <f t="shared" si="73"/>
        <v>272</v>
      </c>
      <c r="B308" s="144"/>
      <c r="C308" s="112"/>
      <c r="D308" s="112" t="s">
        <v>473</v>
      </c>
      <c r="E308" s="106"/>
      <c r="F308" s="106"/>
      <c r="G308" s="107"/>
      <c r="H308" s="107"/>
      <c r="I308" s="107"/>
      <c r="J308" s="107"/>
      <c r="K308" s="106"/>
      <c r="L308" s="107"/>
      <c r="M308" s="108"/>
      <c r="N308" s="108"/>
    </row>
    <row r="309" spans="1:14" ht="18.75" customHeight="1" x14ac:dyDescent="0.2">
      <c r="A309" s="144">
        <f t="shared" si="73"/>
        <v>273</v>
      </c>
      <c r="B309" s="144"/>
      <c r="C309" s="163" t="s">
        <v>474</v>
      </c>
      <c r="D309" s="171"/>
      <c r="E309" s="106" t="s">
        <v>14</v>
      </c>
      <c r="F309" s="106"/>
      <c r="G309" s="107">
        <f>$H$16+1</f>
        <v>7</v>
      </c>
      <c r="H309" s="107">
        <f>I309+$H$16</f>
        <v>9</v>
      </c>
      <c r="I309" s="107">
        <v>3</v>
      </c>
      <c r="J309" s="107" t="s">
        <v>18</v>
      </c>
      <c r="K309" s="106"/>
      <c r="L309" s="107"/>
      <c r="M309" s="108"/>
      <c r="N309" s="164" t="s">
        <v>475</v>
      </c>
    </row>
    <row r="310" spans="1:14" ht="15" x14ac:dyDescent="0.2">
      <c r="A310" s="144">
        <f t="shared" si="73"/>
        <v>274</v>
      </c>
      <c r="B310" s="258"/>
      <c r="C310" s="127"/>
      <c r="D310" s="172" t="s">
        <v>267</v>
      </c>
      <c r="E310" s="110">
        <v>99</v>
      </c>
      <c r="F310" s="110"/>
      <c r="G310" s="107">
        <f t="shared" ref="G310:G324" si="89">H309+1</f>
        <v>10</v>
      </c>
      <c r="H310" s="107">
        <f>H309+I310</f>
        <v>12</v>
      </c>
      <c r="I310" s="111">
        <v>3</v>
      </c>
      <c r="J310" s="111" t="s">
        <v>18</v>
      </c>
      <c r="K310" s="124"/>
      <c r="L310" s="107"/>
      <c r="M310" s="108"/>
      <c r="N310" s="108" t="s">
        <v>268</v>
      </c>
    </row>
    <row r="311" spans="1:14" ht="114.75" x14ac:dyDescent="0.2">
      <c r="A311" s="144">
        <f t="shared" si="73"/>
        <v>275</v>
      </c>
      <c r="B311" s="144"/>
      <c r="C311" s="112"/>
      <c r="D311" s="112" t="s">
        <v>476</v>
      </c>
      <c r="E311" s="106" t="s">
        <v>477</v>
      </c>
      <c r="F311" s="106"/>
      <c r="G311" s="107">
        <f t="shared" si="89"/>
        <v>13</v>
      </c>
      <c r="H311" s="107">
        <f t="shared" ref="H311:H323" si="90">H310+I311</f>
        <v>13</v>
      </c>
      <c r="I311" s="111">
        <v>1</v>
      </c>
      <c r="J311" s="111" t="s">
        <v>18</v>
      </c>
      <c r="K311" s="124"/>
      <c r="L311" s="111"/>
      <c r="M311" s="108"/>
      <c r="N311" s="108" t="s">
        <v>478</v>
      </c>
    </row>
    <row r="312" spans="1:14" ht="76.5" x14ac:dyDescent="0.2">
      <c r="A312" s="144">
        <f t="shared" si="73"/>
        <v>276</v>
      </c>
      <c r="B312" s="144"/>
      <c r="C312" s="112"/>
      <c r="D312" s="112" t="s">
        <v>479</v>
      </c>
      <c r="E312" s="106" t="s">
        <v>480</v>
      </c>
      <c r="F312" s="106"/>
      <c r="G312" s="107">
        <f t="shared" si="89"/>
        <v>14</v>
      </c>
      <c r="H312" s="107">
        <f t="shared" si="90"/>
        <v>14</v>
      </c>
      <c r="I312" s="111">
        <v>1</v>
      </c>
      <c r="J312" s="111" t="s">
        <v>18</v>
      </c>
      <c r="K312" s="124"/>
      <c r="L312" s="111"/>
      <c r="M312" s="108"/>
      <c r="N312" s="108" t="s">
        <v>481</v>
      </c>
    </row>
    <row r="313" spans="1:14" ht="89.25" x14ac:dyDescent="0.2">
      <c r="A313" s="144">
        <f t="shared" si="73"/>
        <v>277</v>
      </c>
      <c r="B313" s="144"/>
      <c r="C313" s="112"/>
      <c r="D313" s="112" t="s">
        <v>482</v>
      </c>
      <c r="E313" s="106" t="s">
        <v>483</v>
      </c>
      <c r="F313" s="106"/>
      <c r="G313" s="107">
        <f t="shared" si="89"/>
        <v>15</v>
      </c>
      <c r="H313" s="107">
        <f t="shared" si="90"/>
        <v>15</v>
      </c>
      <c r="I313" s="111">
        <v>1</v>
      </c>
      <c r="J313" s="111" t="s">
        <v>18</v>
      </c>
      <c r="K313" s="124"/>
      <c r="L313" s="111">
        <v>0</v>
      </c>
      <c r="M313" s="108"/>
      <c r="N313" s="48" t="s">
        <v>484</v>
      </c>
    </row>
    <row r="314" spans="1:14" ht="140.25" x14ac:dyDescent="0.2">
      <c r="A314" s="144">
        <f t="shared" si="73"/>
        <v>278</v>
      </c>
      <c r="B314" s="144"/>
      <c r="C314" s="112"/>
      <c r="D314" s="112" t="s">
        <v>485</v>
      </c>
      <c r="E314" s="106" t="s">
        <v>486</v>
      </c>
      <c r="F314" s="106"/>
      <c r="G314" s="107">
        <f t="shared" si="89"/>
        <v>16</v>
      </c>
      <c r="H314" s="107">
        <f t="shared" si="90"/>
        <v>17</v>
      </c>
      <c r="I314" s="111">
        <v>2</v>
      </c>
      <c r="J314" s="111" t="s">
        <v>18</v>
      </c>
      <c r="K314" s="124"/>
      <c r="L314" s="111"/>
      <c r="M314" s="108"/>
      <c r="N314" s="108" t="s">
        <v>487</v>
      </c>
    </row>
    <row r="315" spans="1:14" ht="76.5" x14ac:dyDescent="0.2">
      <c r="A315" s="144">
        <f t="shared" si="73"/>
        <v>279</v>
      </c>
      <c r="B315" s="258"/>
      <c r="C315" s="127"/>
      <c r="D315" s="128" t="s">
        <v>488</v>
      </c>
      <c r="E315" s="106" t="s">
        <v>489</v>
      </c>
      <c r="F315" s="106"/>
      <c r="G315" s="107">
        <f t="shared" si="89"/>
        <v>18</v>
      </c>
      <c r="H315" s="107">
        <f t="shared" si="90"/>
        <v>22</v>
      </c>
      <c r="I315" s="111">
        <v>5</v>
      </c>
      <c r="J315" s="111" t="s">
        <v>18</v>
      </c>
      <c r="K315" s="124"/>
      <c r="L315" s="124" t="s">
        <v>490</v>
      </c>
      <c r="M315" s="108"/>
      <c r="N315" s="108" t="s">
        <v>491</v>
      </c>
    </row>
    <row r="316" spans="1:14" ht="51" x14ac:dyDescent="0.2">
      <c r="A316" s="144">
        <f t="shared" ref="A316:A389" si="91">A315+1</f>
        <v>280</v>
      </c>
      <c r="B316" s="144"/>
      <c r="C316" s="112"/>
      <c r="D316" s="108" t="s">
        <v>492</v>
      </c>
      <c r="E316" s="106" t="s">
        <v>493</v>
      </c>
      <c r="F316" s="106"/>
      <c r="G316" s="107">
        <f t="shared" si="89"/>
        <v>23</v>
      </c>
      <c r="H316" s="107">
        <f t="shared" si="90"/>
        <v>27</v>
      </c>
      <c r="I316" s="111">
        <v>5</v>
      </c>
      <c r="J316" s="111" t="s">
        <v>18</v>
      </c>
      <c r="K316" s="124"/>
      <c r="L316" s="111">
        <v>2</v>
      </c>
      <c r="M316" s="108"/>
      <c r="N316" s="102" t="s">
        <v>494</v>
      </c>
    </row>
    <row r="317" spans="1:14" ht="51" x14ac:dyDescent="0.2">
      <c r="A317" s="144">
        <f t="shared" si="91"/>
        <v>281</v>
      </c>
      <c r="B317" s="144"/>
      <c r="C317" s="112"/>
      <c r="D317" s="108" t="s">
        <v>495</v>
      </c>
      <c r="E317" s="106" t="s">
        <v>496</v>
      </c>
      <c r="F317" s="106"/>
      <c r="G317" s="107">
        <f t="shared" si="89"/>
        <v>28</v>
      </c>
      <c r="H317" s="107">
        <f t="shared" si="90"/>
        <v>32</v>
      </c>
      <c r="I317" s="111">
        <v>5</v>
      </c>
      <c r="J317" s="111" t="s">
        <v>18</v>
      </c>
      <c r="K317" s="124"/>
      <c r="L317" s="111">
        <v>2</v>
      </c>
      <c r="M317" s="108"/>
      <c r="N317" s="108"/>
    </row>
    <row r="318" spans="1:14" s="103" customFormat="1" ht="51" x14ac:dyDescent="0.2">
      <c r="A318" s="144">
        <f t="shared" si="91"/>
        <v>282</v>
      </c>
      <c r="B318" s="144"/>
      <c r="D318" s="209" t="s">
        <v>497</v>
      </c>
      <c r="E318" s="103" t="s">
        <v>498</v>
      </c>
      <c r="G318" s="103">
        <f t="shared" si="89"/>
        <v>33</v>
      </c>
      <c r="H318" s="103">
        <f t="shared" si="90"/>
        <v>37</v>
      </c>
      <c r="I318" s="111">
        <v>5</v>
      </c>
      <c r="J318" s="103" t="s">
        <v>18</v>
      </c>
      <c r="K318" s="106"/>
      <c r="L318" s="111">
        <v>2</v>
      </c>
    </row>
    <row r="319" spans="1:14" s="103" customFormat="1" ht="51" x14ac:dyDescent="0.2">
      <c r="A319" s="144">
        <f t="shared" si="91"/>
        <v>283</v>
      </c>
      <c r="B319" s="144"/>
      <c r="D319" s="209" t="s">
        <v>499</v>
      </c>
      <c r="E319" s="103" t="s">
        <v>500</v>
      </c>
      <c r="G319" s="103">
        <f t="shared" si="89"/>
        <v>38</v>
      </c>
      <c r="H319" s="103">
        <f t="shared" si="90"/>
        <v>42</v>
      </c>
      <c r="I319" s="111">
        <v>5</v>
      </c>
      <c r="J319" s="103" t="s">
        <v>18</v>
      </c>
      <c r="K319" s="106"/>
      <c r="L319" s="111">
        <v>2</v>
      </c>
    </row>
    <row r="320" spans="1:14" ht="76.5" x14ac:dyDescent="0.2">
      <c r="A320" s="144">
        <f t="shared" si="91"/>
        <v>284</v>
      </c>
      <c r="B320" s="144"/>
      <c r="C320" s="112"/>
      <c r="D320" s="112" t="s">
        <v>501</v>
      </c>
      <c r="E320" s="106" t="s">
        <v>502</v>
      </c>
      <c r="F320" s="106"/>
      <c r="G320" s="107">
        <f t="shared" si="89"/>
        <v>43</v>
      </c>
      <c r="H320" s="107">
        <f t="shared" si="90"/>
        <v>57</v>
      </c>
      <c r="I320" s="111">
        <v>15</v>
      </c>
      <c r="J320" s="111" t="s">
        <v>18</v>
      </c>
      <c r="K320" s="124"/>
      <c r="L320" s="111">
        <v>2</v>
      </c>
      <c r="M320" s="108"/>
      <c r="N320" s="108" t="s">
        <v>503</v>
      </c>
    </row>
    <row r="321" spans="1:101" s="143" customFormat="1" ht="51" x14ac:dyDescent="0.2">
      <c r="A321" s="144">
        <f t="shared" si="91"/>
        <v>285</v>
      </c>
      <c r="B321" s="144"/>
      <c r="C321" s="120"/>
      <c r="D321" s="120" t="s">
        <v>504</v>
      </c>
      <c r="E321" s="170" t="s">
        <v>505</v>
      </c>
      <c r="F321" s="170"/>
      <c r="G321" s="101">
        <f t="shared" si="89"/>
        <v>58</v>
      </c>
      <c r="H321" s="101">
        <f t="shared" si="90"/>
        <v>72</v>
      </c>
      <c r="I321" s="206">
        <v>15</v>
      </c>
      <c r="J321" s="206" t="s">
        <v>18</v>
      </c>
      <c r="K321" s="185"/>
      <c r="L321" s="206">
        <v>2</v>
      </c>
      <c r="M321" s="102"/>
      <c r="N321" s="108" t="s">
        <v>503</v>
      </c>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row>
    <row r="322" spans="1:101" ht="76.5" x14ac:dyDescent="0.2">
      <c r="A322" s="144">
        <f t="shared" si="91"/>
        <v>286</v>
      </c>
      <c r="B322" s="144"/>
      <c r="C322" s="112"/>
      <c r="D322" s="112" t="s">
        <v>506</v>
      </c>
      <c r="E322" s="106" t="s">
        <v>507</v>
      </c>
      <c r="F322" s="106"/>
      <c r="G322" s="107">
        <f t="shared" si="89"/>
        <v>73</v>
      </c>
      <c r="H322" s="107">
        <f t="shared" si="90"/>
        <v>87</v>
      </c>
      <c r="I322" s="111">
        <v>15</v>
      </c>
      <c r="J322" s="111" t="s">
        <v>18</v>
      </c>
      <c r="K322" s="124"/>
      <c r="L322" s="111">
        <v>2</v>
      </c>
      <c r="M322" s="108"/>
    </row>
    <row r="323" spans="1:101" ht="51" x14ac:dyDescent="0.2">
      <c r="A323" s="144">
        <f t="shared" si="91"/>
        <v>287</v>
      </c>
      <c r="B323" s="144"/>
      <c r="C323" s="112"/>
      <c r="D323" s="112" t="s">
        <v>508</v>
      </c>
      <c r="E323" s="106" t="s">
        <v>509</v>
      </c>
      <c r="F323" s="106"/>
      <c r="G323" s="107">
        <f t="shared" si="89"/>
        <v>88</v>
      </c>
      <c r="H323" s="107">
        <f t="shared" si="90"/>
        <v>102</v>
      </c>
      <c r="I323" s="111">
        <v>15</v>
      </c>
      <c r="J323" s="111" t="s">
        <v>18</v>
      </c>
      <c r="K323" s="124"/>
      <c r="L323" s="111">
        <v>2</v>
      </c>
      <c r="M323" s="108"/>
      <c r="N323" s="108"/>
    </row>
    <row r="324" spans="1:101" s="117" customFormat="1" ht="140.25" x14ac:dyDescent="0.2">
      <c r="A324" s="144">
        <f t="shared" si="91"/>
        <v>288</v>
      </c>
      <c r="B324" s="144"/>
      <c r="C324" s="112"/>
      <c r="D324" s="112" t="s">
        <v>510</v>
      </c>
      <c r="E324" s="106" t="s">
        <v>511</v>
      </c>
      <c r="F324" s="106"/>
      <c r="G324" s="107">
        <f t="shared" si="89"/>
        <v>103</v>
      </c>
      <c r="H324" s="107">
        <f>H323+I324</f>
        <v>103</v>
      </c>
      <c r="I324" s="107">
        <v>1</v>
      </c>
      <c r="J324" s="107" t="s">
        <v>18</v>
      </c>
      <c r="K324" s="106"/>
      <c r="L324" s="107"/>
      <c r="M324" s="108"/>
      <c r="N324" s="108" t="s">
        <v>512</v>
      </c>
    </row>
    <row r="325" spans="1:101" ht="25.5" x14ac:dyDescent="0.2">
      <c r="A325" s="144">
        <f t="shared" si="91"/>
        <v>289</v>
      </c>
      <c r="B325" s="144"/>
      <c r="C325" s="112"/>
      <c r="D325" s="108" t="s">
        <v>513</v>
      </c>
      <c r="E325" s="106">
        <v>216</v>
      </c>
      <c r="F325" s="106"/>
      <c r="G325" s="107">
        <f t="shared" ref="G325" si="92">H324+1</f>
        <v>104</v>
      </c>
      <c r="H325" s="107">
        <f>H324+I325</f>
        <v>118</v>
      </c>
      <c r="I325" s="107">
        <v>15</v>
      </c>
      <c r="J325" s="107" t="s">
        <v>18</v>
      </c>
      <c r="K325" s="106"/>
      <c r="L325" s="107">
        <v>2</v>
      </c>
      <c r="M325" s="108"/>
      <c r="N325" s="108" t="s">
        <v>514</v>
      </c>
    </row>
    <row r="326" spans="1:101" ht="25.5" x14ac:dyDescent="0.2">
      <c r="A326" s="144">
        <f t="shared" si="91"/>
        <v>290</v>
      </c>
      <c r="B326" s="144"/>
      <c r="C326" s="112"/>
      <c r="D326" s="108" t="s">
        <v>515</v>
      </c>
      <c r="E326" s="106">
        <v>217</v>
      </c>
      <c r="F326" s="106"/>
      <c r="G326" s="107">
        <f t="shared" ref="G326:G327" si="93">H325+1</f>
        <v>119</v>
      </c>
      <c r="H326" s="107">
        <f>H325+I326</f>
        <v>133</v>
      </c>
      <c r="I326" s="107">
        <v>15</v>
      </c>
      <c r="J326" s="107" t="s">
        <v>18</v>
      </c>
      <c r="K326" s="106"/>
      <c r="L326" s="107">
        <v>2</v>
      </c>
      <c r="M326" s="108"/>
      <c r="N326" s="108" t="s">
        <v>516</v>
      </c>
    </row>
    <row r="327" spans="1:101" s="117" customFormat="1" ht="178.5" x14ac:dyDescent="0.2">
      <c r="A327" s="144">
        <f t="shared" si="91"/>
        <v>291</v>
      </c>
      <c r="B327" s="144"/>
      <c r="C327" s="112"/>
      <c r="D327" s="112" t="s">
        <v>510</v>
      </c>
      <c r="E327" s="106" t="s">
        <v>511</v>
      </c>
      <c r="F327" s="106"/>
      <c r="G327" s="107">
        <f t="shared" si="93"/>
        <v>134</v>
      </c>
      <c r="H327" s="107">
        <f>H326+I327</f>
        <v>135</v>
      </c>
      <c r="I327" s="107">
        <v>2</v>
      </c>
      <c r="J327" s="107" t="s">
        <v>18</v>
      </c>
      <c r="K327" s="106"/>
      <c r="L327" s="107"/>
      <c r="M327" s="108"/>
      <c r="N327" s="108" t="s">
        <v>1742</v>
      </c>
    </row>
    <row r="328" spans="1:101" s="117" customFormat="1" ht="63.75" x14ac:dyDescent="0.2">
      <c r="A328" s="144">
        <f t="shared" si="91"/>
        <v>292</v>
      </c>
      <c r="B328" s="144"/>
      <c r="C328" s="112"/>
      <c r="D328" s="108" t="s">
        <v>517</v>
      </c>
      <c r="E328" s="106" t="s">
        <v>518</v>
      </c>
      <c r="F328" s="106"/>
      <c r="G328" s="107">
        <v>136</v>
      </c>
      <c r="H328" s="107">
        <v>150</v>
      </c>
      <c r="I328" s="107">
        <v>15</v>
      </c>
      <c r="J328" s="107" t="s">
        <v>18</v>
      </c>
      <c r="K328" s="106"/>
      <c r="L328" s="107">
        <v>2</v>
      </c>
      <c r="M328" s="108"/>
      <c r="N328" s="108" t="s">
        <v>519</v>
      </c>
    </row>
    <row r="329" spans="1:101" s="117" customFormat="1" x14ac:dyDescent="0.2">
      <c r="A329" s="144">
        <f t="shared" si="91"/>
        <v>293</v>
      </c>
      <c r="B329" s="144"/>
      <c r="C329" s="112"/>
      <c r="D329" s="108" t="s">
        <v>520</v>
      </c>
      <c r="E329" s="106" t="s">
        <v>521</v>
      </c>
      <c r="F329" s="106"/>
      <c r="G329" s="107">
        <v>151</v>
      </c>
      <c r="H329" s="107">
        <v>165</v>
      </c>
      <c r="I329" s="107">
        <v>15</v>
      </c>
      <c r="J329" s="107" t="s">
        <v>18</v>
      </c>
      <c r="K329" s="106"/>
      <c r="L329" s="107">
        <v>2</v>
      </c>
      <c r="M329" s="108"/>
      <c r="N329" s="108" t="s">
        <v>522</v>
      </c>
    </row>
    <row r="330" spans="1:101" x14ac:dyDescent="0.2">
      <c r="A330" s="144">
        <f t="shared" si="91"/>
        <v>294</v>
      </c>
      <c r="B330" s="144"/>
      <c r="C330" s="49"/>
      <c r="D330" s="48" t="s">
        <v>523</v>
      </c>
      <c r="E330" s="145" t="s">
        <v>524</v>
      </c>
      <c r="F330" s="145"/>
      <c r="G330" s="146">
        <v>166</v>
      </c>
      <c r="H330" s="146">
        <v>170</v>
      </c>
      <c r="I330" s="146">
        <v>5</v>
      </c>
      <c r="J330" s="146" t="s">
        <v>18</v>
      </c>
      <c r="K330" s="145"/>
      <c r="L330" s="145" t="s">
        <v>469</v>
      </c>
      <c r="M330" s="48"/>
      <c r="N330" s="48" t="s">
        <v>525</v>
      </c>
    </row>
    <row r="331" spans="1:101" s="117" customFormat="1" x14ac:dyDescent="0.2">
      <c r="A331" s="144">
        <f t="shared" si="91"/>
        <v>295</v>
      </c>
      <c r="B331" s="144"/>
      <c r="C331" s="112"/>
      <c r="D331" s="108" t="s">
        <v>526</v>
      </c>
      <c r="E331" s="106" t="s">
        <v>527</v>
      </c>
      <c r="F331" s="106"/>
      <c r="G331" s="107">
        <v>171</v>
      </c>
      <c r="H331" s="107">
        <v>185</v>
      </c>
      <c r="I331" s="107">
        <v>15</v>
      </c>
      <c r="J331" s="107" t="s">
        <v>18</v>
      </c>
      <c r="K331" s="106"/>
      <c r="L331" s="107">
        <v>2</v>
      </c>
      <c r="M331" s="108"/>
      <c r="N331" s="108"/>
    </row>
    <row r="332" spans="1:101" s="117" customFormat="1" ht="51" x14ac:dyDescent="0.2">
      <c r="A332" s="144">
        <f t="shared" si="91"/>
        <v>296</v>
      </c>
      <c r="B332" s="144"/>
      <c r="C332" s="112"/>
      <c r="D332" s="108" t="s">
        <v>497</v>
      </c>
      <c r="E332" s="106" t="s">
        <v>498</v>
      </c>
      <c r="F332" s="106"/>
      <c r="G332" s="108">
        <f t="shared" ref="G332:G334" si="94">H331+1</f>
        <v>186</v>
      </c>
      <c r="H332" s="108">
        <f t="shared" ref="H332:H334" si="95">H331+I332</f>
        <v>192</v>
      </c>
      <c r="I332" s="107">
        <v>7</v>
      </c>
      <c r="J332" s="107" t="s">
        <v>18</v>
      </c>
      <c r="K332" s="106"/>
      <c r="L332" s="107">
        <v>4</v>
      </c>
      <c r="M332" s="108"/>
      <c r="N332" s="108" t="s">
        <v>528</v>
      </c>
    </row>
    <row r="333" spans="1:101" s="117" customFormat="1" ht="51" x14ac:dyDescent="0.2">
      <c r="A333" s="144">
        <f t="shared" si="91"/>
        <v>297</v>
      </c>
      <c r="B333" s="144"/>
      <c r="C333" s="112"/>
      <c r="D333" s="108" t="s">
        <v>499</v>
      </c>
      <c r="E333" s="106" t="s">
        <v>500</v>
      </c>
      <c r="F333" s="106"/>
      <c r="G333" s="108">
        <f t="shared" si="94"/>
        <v>193</v>
      </c>
      <c r="H333" s="108">
        <f t="shared" si="95"/>
        <v>199</v>
      </c>
      <c r="I333" s="107">
        <v>7</v>
      </c>
      <c r="J333" s="107" t="s">
        <v>18</v>
      </c>
      <c r="K333" s="106"/>
      <c r="L333" s="107">
        <v>4</v>
      </c>
      <c r="M333" s="108"/>
      <c r="N333" s="108" t="s">
        <v>529</v>
      </c>
    </row>
    <row r="334" spans="1:101" s="117" customFormat="1" x14ac:dyDescent="0.2">
      <c r="A334" s="144">
        <f t="shared" si="91"/>
        <v>298</v>
      </c>
      <c r="B334" s="144"/>
      <c r="C334" s="112"/>
      <c r="D334" s="108" t="s">
        <v>523</v>
      </c>
      <c r="E334" s="106" t="s">
        <v>524</v>
      </c>
      <c r="F334" s="106"/>
      <c r="G334" s="108">
        <f t="shared" si="94"/>
        <v>200</v>
      </c>
      <c r="H334" s="108">
        <f t="shared" si="95"/>
        <v>206</v>
      </c>
      <c r="I334" s="107">
        <v>7</v>
      </c>
      <c r="J334" s="107" t="s">
        <v>18</v>
      </c>
      <c r="K334" s="106"/>
      <c r="L334" s="107">
        <v>4</v>
      </c>
      <c r="M334" s="108"/>
      <c r="N334" s="108" t="s">
        <v>530</v>
      </c>
    </row>
    <row r="335" spans="1:101" s="117" customFormat="1" ht="25.5" x14ac:dyDescent="0.2">
      <c r="A335" s="144">
        <f t="shared" si="91"/>
        <v>299</v>
      </c>
      <c r="B335" s="144"/>
      <c r="C335" s="112"/>
      <c r="D335" s="108" t="s">
        <v>531</v>
      </c>
      <c r="E335" s="106" t="s">
        <v>532</v>
      </c>
      <c r="F335" s="106"/>
      <c r="G335" s="108">
        <f t="shared" ref="G335" si="96">H334+1</f>
        <v>207</v>
      </c>
      <c r="H335" s="108">
        <f t="shared" ref="H335" si="97">H334+I335</f>
        <v>213</v>
      </c>
      <c r="I335" s="107">
        <v>7</v>
      </c>
      <c r="J335" s="107" t="s">
        <v>18</v>
      </c>
      <c r="K335" s="106"/>
      <c r="L335" s="107">
        <v>4</v>
      </c>
      <c r="M335" s="108"/>
      <c r="N335" s="108" t="s">
        <v>533</v>
      </c>
    </row>
    <row r="336" spans="1:101" s="117" customFormat="1" x14ac:dyDescent="0.2">
      <c r="A336" s="144">
        <f t="shared" si="91"/>
        <v>300</v>
      </c>
      <c r="B336" s="144"/>
      <c r="C336" s="112"/>
      <c r="D336" s="10" t="s">
        <v>534</v>
      </c>
      <c r="E336" s="106" t="s">
        <v>535</v>
      </c>
      <c r="F336" s="106"/>
      <c r="G336" s="108">
        <f t="shared" ref="G336:G348" si="98">H335+1</f>
        <v>214</v>
      </c>
      <c r="H336" s="108">
        <f t="shared" ref="H336:H348" si="99">H335+I336</f>
        <v>228</v>
      </c>
      <c r="I336" s="218">
        <v>15</v>
      </c>
      <c r="J336" s="111" t="s">
        <v>18</v>
      </c>
      <c r="K336" s="124"/>
      <c r="L336" s="111">
        <v>2</v>
      </c>
      <c r="M336" s="108"/>
      <c r="N336" s="108" t="s">
        <v>536</v>
      </c>
    </row>
    <row r="337" spans="1:101" s="117" customFormat="1" x14ac:dyDescent="0.2">
      <c r="A337" s="144">
        <f t="shared" si="91"/>
        <v>301</v>
      </c>
      <c r="B337" s="144"/>
      <c r="C337" s="112"/>
      <c r="D337" s="112" t="s">
        <v>537</v>
      </c>
      <c r="E337" s="106" t="s">
        <v>538</v>
      </c>
      <c r="F337" s="106"/>
      <c r="G337" s="108">
        <f t="shared" si="98"/>
        <v>229</v>
      </c>
      <c r="H337" s="108">
        <f t="shared" si="99"/>
        <v>235</v>
      </c>
      <c r="I337" s="218">
        <v>7</v>
      </c>
      <c r="J337" s="111" t="s">
        <v>18</v>
      </c>
      <c r="K337" s="124"/>
      <c r="L337" s="111">
        <v>4</v>
      </c>
      <c r="M337" s="108"/>
      <c r="N337" s="108" t="s">
        <v>539</v>
      </c>
    </row>
    <row r="338" spans="1:101" s="117" customFormat="1" x14ac:dyDescent="0.2">
      <c r="A338" s="144">
        <f t="shared" si="91"/>
        <v>302</v>
      </c>
      <c r="B338" s="144"/>
      <c r="C338" s="112"/>
      <c r="D338" s="112" t="s">
        <v>540</v>
      </c>
      <c r="E338" s="106" t="s">
        <v>541</v>
      </c>
      <c r="F338" s="106"/>
      <c r="G338" s="108">
        <f t="shared" si="98"/>
        <v>236</v>
      </c>
      <c r="H338" s="108">
        <f t="shared" si="99"/>
        <v>250</v>
      </c>
      <c r="I338" s="218">
        <v>15</v>
      </c>
      <c r="J338" s="111" t="s">
        <v>18</v>
      </c>
      <c r="K338" s="124"/>
      <c r="L338" s="111">
        <v>2</v>
      </c>
      <c r="M338" s="108"/>
      <c r="N338" s="108" t="s">
        <v>542</v>
      </c>
    </row>
    <row r="339" spans="1:101" s="117" customFormat="1" x14ac:dyDescent="0.2">
      <c r="A339" s="144">
        <f t="shared" si="91"/>
        <v>303</v>
      </c>
      <c r="B339" s="144"/>
      <c r="C339" s="112"/>
      <c r="D339" s="112" t="s">
        <v>543</v>
      </c>
      <c r="E339" s="106" t="s">
        <v>544</v>
      </c>
      <c r="F339" s="106"/>
      <c r="G339" s="108">
        <f t="shared" si="98"/>
        <v>251</v>
      </c>
      <c r="H339" s="108">
        <f t="shared" si="99"/>
        <v>265</v>
      </c>
      <c r="I339" s="218">
        <v>15</v>
      </c>
      <c r="J339" s="111" t="s">
        <v>18</v>
      </c>
      <c r="K339" s="124"/>
      <c r="L339" s="111">
        <v>2</v>
      </c>
      <c r="M339" s="108"/>
      <c r="N339" s="108" t="s">
        <v>545</v>
      </c>
    </row>
    <row r="340" spans="1:101" s="117" customFormat="1" x14ac:dyDescent="0.2">
      <c r="A340" s="144">
        <f t="shared" si="91"/>
        <v>304</v>
      </c>
      <c r="B340" s="144"/>
      <c r="C340" s="112"/>
      <c r="D340" s="112" t="s">
        <v>546</v>
      </c>
      <c r="E340" s="106" t="s">
        <v>547</v>
      </c>
      <c r="F340" s="106"/>
      <c r="G340" s="108">
        <f t="shared" si="98"/>
        <v>266</v>
      </c>
      <c r="H340" s="108">
        <f t="shared" si="99"/>
        <v>272</v>
      </c>
      <c r="I340" s="218">
        <v>7</v>
      </c>
      <c r="J340" s="111" t="s">
        <v>18</v>
      </c>
      <c r="K340" s="124"/>
      <c r="L340" s="111">
        <v>4</v>
      </c>
      <c r="M340" s="108"/>
      <c r="N340" s="108" t="s">
        <v>548</v>
      </c>
    </row>
    <row r="341" spans="1:101" s="117" customFormat="1" x14ac:dyDescent="0.2">
      <c r="A341" s="144">
        <f t="shared" si="91"/>
        <v>305</v>
      </c>
      <c r="B341" s="144"/>
      <c r="C341" s="112"/>
      <c r="D341" s="112" t="s">
        <v>549</v>
      </c>
      <c r="E341" s="106" t="s">
        <v>550</v>
      </c>
      <c r="F341" s="106"/>
      <c r="G341" s="108">
        <f t="shared" si="98"/>
        <v>273</v>
      </c>
      <c r="H341" s="108">
        <f t="shared" si="99"/>
        <v>287</v>
      </c>
      <c r="I341" s="218">
        <v>15</v>
      </c>
      <c r="J341" s="111" t="s">
        <v>18</v>
      </c>
      <c r="K341" s="124"/>
      <c r="L341" s="111">
        <v>2</v>
      </c>
      <c r="M341" s="108"/>
      <c r="N341" s="108" t="s">
        <v>551</v>
      </c>
    </row>
    <row r="342" spans="1:101" s="117" customFormat="1" x14ac:dyDescent="0.2">
      <c r="A342" s="144">
        <f t="shared" si="91"/>
        <v>306</v>
      </c>
      <c r="B342" s="144"/>
      <c r="C342" s="112"/>
      <c r="D342" s="112" t="s">
        <v>552</v>
      </c>
      <c r="E342" s="106" t="s">
        <v>553</v>
      </c>
      <c r="F342" s="106"/>
      <c r="G342" s="108">
        <f t="shared" si="98"/>
        <v>288</v>
      </c>
      <c r="H342" s="108">
        <f t="shared" si="99"/>
        <v>302</v>
      </c>
      <c r="I342" s="218">
        <v>15</v>
      </c>
      <c r="J342" s="111" t="s">
        <v>18</v>
      </c>
      <c r="K342" s="124"/>
      <c r="L342" s="111">
        <v>2</v>
      </c>
      <c r="M342" s="108"/>
      <c r="N342" s="108" t="s">
        <v>554</v>
      </c>
    </row>
    <row r="343" spans="1:101" s="117" customFormat="1" x14ac:dyDescent="0.2">
      <c r="A343" s="144">
        <f t="shared" si="91"/>
        <v>307</v>
      </c>
      <c r="B343" s="144"/>
      <c r="C343" s="112"/>
      <c r="D343" s="112" t="s">
        <v>555</v>
      </c>
      <c r="E343" s="106" t="s">
        <v>556</v>
      </c>
      <c r="F343" s="106"/>
      <c r="G343" s="108">
        <f t="shared" si="98"/>
        <v>303</v>
      </c>
      <c r="H343" s="108">
        <f t="shared" si="99"/>
        <v>309</v>
      </c>
      <c r="I343" s="218">
        <v>7</v>
      </c>
      <c r="J343" s="111" t="s">
        <v>18</v>
      </c>
      <c r="K343" s="124"/>
      <c r="L343" s="111">
        <v>4</v>
      </c>
      <c r="M343" s="108"/>
      <c r="N343" s="108" t="s">
        <v>557</v>
      </c>
    </row>
    <row r="344" spans="1:101" s="117" customFormat="1" x14ac:dyDescent="0.2">
      <c r="A344" s="144">
        <f t="shared" si="91"/>
        <v>308</v>
      </c>
      <c r="B344" s="144"/>
      <c r="C344" s="112"/>
      <c r="D344" s="112" t="s">
        <v>558</v>
      </c>
      <c r="E344" s="106" t="s">
        <v>559</v>
      </c>
      <c r="F344" s="106"/>
      <c r="G344" s="108">
        <f t="shared" si="98"/>
        <v>310</v>
      </c>
      <c r="H344" s="108">
        <f t="shared" si="99"/>
        <v>324</v>
      </c>
      <c r="I344" s="218">
        <v>15</v>
      </c>
      <c r="J344" s="111" t="s">
        <v>18</v>
      </c>
      <c r="K344" s="124"/>
      <c r="L344" s="111">
        <v>2</v>
      </c>
      <c r="M344" s="108"/>
      <c r="N344" s="108" t="s">
        <v>551</v>
      </c>
    </row>
    <row r="345" spans="1:101" s="175" customFormat="1" ht="25.5" x14ac:dyDescent="0.2">
      <c r="A345" s="144">
        <f t="shared" si="91"/>
        <v>309</v>
      </c>
      <c r="B345" s="144"/>
      <c r="C345" s="120"/>
      <c r="D345" s="120" t="s">
        <v>560</v>
      </c>
      <c r="E345" s="170" t="s">
        <v>561</v>
      </c>
      <c r="F345" s="170"/>
      <c r="G345" s="102">
        <f t="shared" si="98"/>
        <v>325</v>
      </c>
      <c r="H345" s="102">
        <f t="shared" si="99"/>
        <v>331</v>
      </c>
      <c r="I345" s="251">
        <v>7</v>
      </c>
      <c r="J345" s="206" t="s">
        <v>18</v>
      </c>
      <c r="K345" s="185"/>
      <c r="L345" s="206">
        <v>4</v>
      </c>
      <c r="M345" s="102"/>
      <c r="N345" s="102" t="s">
        <v>562</v>
      </c>
      <c r="O345" s="117"/>
      <c r="P345" s="117"/>
      <c r="Q345" s="117"/>
      <c r="R345" s="117"/>
      <c r="S345" s="117"/>
      <c r="T345" s="117"/>
      <c r="U345" s="117"/>
      <c r="V345" s="117"/>
      <c r="W345" s="117"/>
      <c r="X345" s="117"/>
      <c r="Y345" s="117"/>
      <c r="Z345" s="117"/>
      <c r="AA345" s="117"/>
      <c r="AB345" s="117"/>
      <c r="AC345" s="117"/>
      <c r="AD345" s="117"/>
      <c r="AE345" s="117"/>
      <c r="AF345" s="117"/>
      <c r="AG345" s="117"/>
      <c r="AH345" s="117"/>
      <c r="AI345" s="117"/>
      <c r="AJ345" s="117"/>
      <c r="AK345" s="117"/>
      <c r="AL345" s="117"/>
      <c r="AM345" s="117"/>
      <c r="AN345" s="117"/>
      <c r="AO345" s="117"/>
      <c r="AP345" s="117"/>
      <c r="AQ345" s="117"/>
      <c r="AR345" s="117"/>
      <c r="AS345" s="117"/>
      <c r="AT345" s="117"/>
      <c r="AU345" s="117"/>
      <c r="AV345" s="117"/>
      <c r="AW345" s="117"/>
      <c r="AX345" s="117"/>
      <c r="AY345" s="117"/>
      <c r="AZ345" s="117"/>
      <c r="BA345" s="117"/>
      <c r="BB345" s="117"/>
      <c r="BC345" s="117"/>
      <c r="BD345" s="117"/>
      <c r="BE345" s="117"/>
      <c r="BF345" s="117"/>
      <c r="BG345" s="117"/>
      <c r="BH345" s="117"/>
      <c r="BI345" s="117"/>
      <c r="BJ345" s="117"/>
      <c r="BK345" s="117"/>
      <c r="BL345" s="117"/>
      <c r="BM345" s="117"/>
      <c r="BN345" s="117"/>
      <c r="BO345" s="117"/>
      <c r="BP345" s="117"/>
      <c r="BQ345" s="117"/>
      <c r="BR345" s="117"/>
      <c r="BS345" s="117"/>
      <c r="BT345" s="117"/>
      <c r="BU345" s="117"/>
      <c r="BV345" s="117"/>
      <c r="BW345" s="117"/>
      <c r="BX345" s="117"/>
      <c r="BY345" s="117"/>
      <c r="BZ345" s="117"/>
      <c r="CA345" s="117"/>
      <c r="CB345" s="117"/>
      <c r="CC345" s="117"/>
      <c r="CD345" s="117"/>
      <c r="CE345" s="117"/>
      <c r="CF345" s="117"/>
      <c r="CG345" s="117"/>
      <c r="CH345" s="117"/>
      <c r="CI345" s="117"/>
      <c r="CJ345" s="117"/>
      <c r="CK345" s="117"/>
      <c r="CL345" s="117"/>
      <c r="CM345" s="117"/>
      <c r="CN345" s="117"/>
      <c r="CO345" s="117"/>
      <c r="CP345" s="117"/>
      <c r="CQ345" s="117"/>
      <c r="CR345" s="117"/>
      <c r="CS345" s="117"/>
      <c r="CT345" s="117"/>
      <c r="CU345" s="117"/>
      <c r="CV345" s="117"/>
      <c r="CW345" s="117"/>
    </row>
    <row r="346" spans="1:101" s="175" customFormat="1" ht="25.5" x14ac:dyDescent="0.2">
      <c r="A346" s="144">
        <f t="shared" si="91"/>
        <v>310</v>
      </c>
      <c r="B346" s="144"/>
      <c r="C346" s="120"/>
      <c r="D346" s="120" t="s">
        <v>563</v>
      </c>
      <c r="E346" s="170" t="s">
        <v>564</v>
      </c>
      <c r="F346" s="170"/>
      <c r="G346" s="102">
        <f t="shared" si="98"/>
        <v>332</v>
      </c>
      <c r="H346" s="102">
        <f t="shared" si="99"/>
        <v>346</v>
      </c>
      <c r="I346" s="251">
        <v>15</v>
      </c>
      <c r="J346" s="206" t="s">
        <v>18</v>
      </c>
      <c r="K346" s="185"/>
      <c r="L346" s="206">
        <v>2</v>
      </c>
      <c r="M346" s="102"/>
      <c r="N346" s="102" t="s">
        <v>565</v>
      </c>
      <c r="O346" s="117"/>
      <c r="P346" s="117"/>
      <c r="Q346" s="117"/>
      <c r="R346" s="117"/>
      <c r="S346" s="117"/>
      <c r="T346" s="117"/>
      <c r="U346" s="117"/>
      <c r="V346" s="117"/>
      <c r="W346" s="117"/>
      <c r="X346" s="117"/>
      <c r="Y346" s="117"/>
      <c r="Z346" s="117"/>
      <c r="AA346" s="117"/>
      <c r="AB346" s="117"/>
      <c r="AC346" s="117"/>
      <c r="AD346" s="117"/>
      <c r="AE346" s="117"/>
      <c r="AF346" s="117"/>
      <c r="AG346" s="117"/>
      <c r="AH346" s="117"/>
      <c r="AI346" s="117"/>
      <c r="AJ346" s="117"/>
      <c r="AK346" s="117"/>
      <c r="AL346" s="117"/>
      <c r="AM346" s="117"/>
      <c r="AN346" s="117"/>
      <c r="AO346" s="117"/>
      <c r="AP346" s="117"/>
      <c r="AQ346" s="117"/>
      <c r="AR346" s="117"/>
      <c r="AS346" s="117"/>
      <c r="AT346" s="117"/>
      <c r="AU346" s="117"/>
      <c r="AV346" s="117"/>
      <c r="AW346" s="117"/>
      <c r="AX346" s="117"/>
      <c r="AY346" s="117"/>
      <c r="AZ346" s="117"/>
      <c r="BA346" s="117"/>
      <c r="BB346" s="117"/>
      <c r="BC346" s="117"/>
      <c r="BD346" s="117"/>
      <c r="BE346" s="117"/>
      <c r="BF346" s="117"/>
      <c r="BG346" s="117"/>
      <c r="BH346" s="117"/>
      <c r="BI346" s="117"/>
      <c r="BJ346" s="117"/>
      <c r="BK346" s="117"/>
      <c r="BL346" s="117"/>
      <c r="BM346" s="117"/>
      <c r="BN346" s="117"/>
      <c r="BO346" s="117"/>
      <c r="BP346" s="117"/>
      <c r="BQ346" s="117"/>
      <c r="BR346" s="117"/>
      <c r="BS346" s="117"/>
      <c r="BT346" s="117"/>
      <c r="BU346" s="117"/>
      <c r="BV346" s="117"/>
      <c r="BW346" s="117"/>
      <c r="BX346" s="117"/>
      <c r="BY346" s="117"/>
      <c r="BZ346" s="117"/>
      <c r="CA346" s="117"/>
      <c r="CB346" s="117"/>
      <c r="CC346" s="117"/>
      <c r="CD346" s="117"/>
      <c r="CE346" s="117"/>
      <c r="CF346" s="117"/>
      <c r="CG346" s="117"/>
      <c r="CH346" s="117"/>
      <c r="CI346" s="117"/>
      <c r="CJ346" s="117"/>
      <c r="CK346" s="117"/>
      <c r="CL346" s="117"/>
      <c r="CM346" s="117"/>
      <c r="CN346" s="117"/>
      <c r="CO346" s="117"/>
      <c r="CP346" s="117"/>
      <c r="CQ346" s="117"/>
      <c r="CR346" s="117"/>
      <c r="CS346" s="117"/>
      <c r="CT346" s="117"/>
      <c r="CU346" s="117"/>
      <c r="CV346" s="117"/>
      <c r="CW346" s="117"/>
    </row>
    <row r="347" spans="1:101" s="175" customFormat="1" x14ac:dyDescent="0.2">
      <c r="A347" s="144">
        <f t="shared" si="91"/>
        <v>311</v>
      </c>
      <c r="B347" s="144"/>
      <c r="C347" s="120"/>
      <c r="D347" s="120" t="s">
        <v>566</v>
      </c>
      <c r="E347" s="170" t="s">
        <v>567</v>
      </c>
      <c r="F347" s="170"/>
      <c r="G347" s="102">
        <f t="shared" si="98"/>
        <v>347</v>
      </c>
      <c r="H347" s="102">
        <f t="shared" si="99"/>
        <v>353</v>
      </c>
      <c r="I347" s="251">
        <v>7</v>
      </c>
      <c r="J347" s="206" t="s">
        <v>18</v>
      </c>
      <c r="K347" s="185"/>
      <c r="L347" s="206">
        <v>4</v>
      </c>
      <c r="M347" s="102"/>
      <c r="N347" s="102" t="s">
        <v>568</v>
      </c>
      <c r="O347" s="117"/>
      <c r="P347" s="117"/>
      <c r="Q347" s="117"/>
      <c r="R347" s="117"/>
      <c r="S347" s="117"/>
      <c r="T347" s="117"/>
      <c r="U347" s="117"/>
      <c r="V347" s="117"/>
      <c r="W347" s="117"/>
      <c r="X347" s="117"/>
      <c r="Y347" s="117"/>
      <c r="Z347" s="117"/>
      <c r="AA347" s="117"/>
      <c r="AB347" s="117"/>
      <c r="AC347" s="117"/>
      <c r="AD347" s="117"/>
      <c r="AE347" s="117"/>
      <c r="AF347" s="117"/>
      <c r="AG347" s="117"/>
      <c r="AH347" s="117"/>
      <c r="AI347" s="117"/>
      <c r="AJ347" s="117"/>
      <c r="AK347" s="117"/>
      <c r="AL347" s="117"/>
      <c r="AM347" s="117"/>
      <c r="AN347" s="117"/>
      <c r="AO347" s="117"/>
      <c r="AP347" s="117"/>
      <c r="AQ347" s="117"/>
      <c r="AR347" s="117"/>
      <c r="AS347" s="117"/>
      <c r="AT347" s="117"/>
      <c r="AU347" s="117"/>
      <c r="AV347" s="117"/>
      <c r="AW347" s="117"/>
      <c r="AX347" s="117"/>
      <c r="AY347" s="117"/>
      <c r="AZ347" s="117"/>
      <c r="BA347" s="117"/>
      <c r="BB347" s="117"/>
      <c r="BC347" s="117"/>
      <c r="BD347" s="117"/>
      <c r="BE347" s="117"/>
      <c r="BF347" s="117"/>
      <c r="BG347" s="117"/>
      <c r="BH347" s="117"/>
      <c r="BI347" s="117"/>
      <c r="BJ347" s="117"/>
      <c r="BK347" s="117"/>
      <c r="BL347" s="117"/>
      <c r="BM347" s="117"/>
      <c r="BN347" s="117"/>
      <c r="BO347" s="117"/>
      <c r="BP347" s="117"/>
      <c r="BQ347" s="117"/>
      <c r="BR347" s="117"/>
      <c r="BS347" s="117"/>
      <c r="BT347" s="117"/>
      <c r="BU347" s="117"/>
      <c r="BV347" s="117"/>
      <c r="BW347" s="117"/>
      <c r="BX347" s="117"/>
      <c r="BY347" s="117"/>
      <c r="BZ347" s="117"/>
      <c r="CA347" s="117"/>
      <c r="CB347" s="117"/>
      <c r="CC347" s="117"/>
      <c r="CD347" s="117"/>
      <c r="CE347" s="117"/>
      <c r="CF347" s="117"/>
      <c r="CG347" s="117"/>
      <c r="CH347" s="117"/>
      <c r="CI347" s="117"/>
      <c r="CJ347" s="117"/>
      <c r="CK347" s="117"/>
      <c r="CL347" s="117"/>
      <c r="CM347" s="117"/>
      <c r="CN347" s="117"/>
      <c r="CO347" s="117"/>
      <c r="CP347" s="117"/>
      <c r="CQ347" s="117"/>
      <c r="CR347" s="117"/>
      <c r="CS347" s="117"/>
      <c r="CT347" s="117"/>
      <c r="CU347" s="117"/>
      <c r="CV347" s="117"/>
      <c r="CW347" s="117"/>
    </row>
    <row r="348" spans="1:101" s="175" customFormat="1" ht="25.5" x14ac:dyDescent="0.2">
      <c r="A348" s="144">
        <f t="shared" si="91"/>
        <v>312</v>
      </c>
      <c r="B348" s="144"/>
      <c r="C348" s="120"/>
      <c r="D348" s="120" t="s">
        <v>569</v>
      </c>
      <c r="E348" s="170" t="s">
        <v>570</v>
      </c>
      <c r="F348" s="170"/>
      <c r="G348" s="102">
        <f t="shared" si="98"/>
        <v>354</v>
      </c>
      <c r="H348" s="102">
        <f t="shared" si="99"/>
        <v>368</v>
      </c>
      <c r="I348" s="251">
        <v>15</v>
      </c>
      <c r="J348" s="206" t="s">
        <v>18</v>
      </c>
      <c r="K348" s="185"/>
      <c r="L348" s="206">
        <v>2</v>
      </c>
      <c r="M348" s="102"/>
      <c r="N348" s="102" t="s">
        <v>571</v>
      </c>
      <c r="O348" s="117"/>
      <c r="P348" s="117"/>
      <c r="Q348" s="117"/>
      <c r="R348" s="117"/>
      <c r="S348" s="117"/>
      <c r="T348" s="117"/>
      <c r="U348" s="117"/>
      <c r="V348" s="117"/>
      <c r="W348" s="117"/>
      <c r="X348" s="117"/>
      <c r="Y348" s="117"/>
      <c r="Z348" s="117"/>
      <c r="AA348" s="117"/>
      <c r="AB348" s="117"/>
      <c r="AC348" s="117"/>
      <c r="AD348" s="117"/>
      <c r="AE348" s="117"/>
      <c r="AF348" s="117"/>
      <c r="AG348" s="117"/>
      <c r="AH348" s="117"/>
      <c r="AI348" s="117"/>
      <c r="AJ348" s="117"/>
      <c r="AK348" s="117"/>
      <c r="AL348" s="117"/>
      <c r="AM348" s="117"/>
      <c r="AN348" s="117"/>
      <c r="AO348" s="117"/>
      <c r="AP348" s="117"/>
      <c r="AQ348" s="117"/>
      <c r="AR348" s="117"/>
      <c r="AS348" s="117"/>
      <c r="AT348" s="117"/>
      <c r="AU348" s="117"/>
      <c r="AV348" s="117"/>
      <c r="AW348" s="117"/>
      <c r="AX348" s="117"/>
      <c r="AY348" s="117"/>
      <c r="AZ348" s="117"/>
      <c r="BA348" s="117"/>
      <c r="BB348" s="117"/>
      <c r="BC348" s="117"/>
      <c r="BD348" s="117"/>
      <c r="BE348" s="117"/>
      <c r="BF348" s="117"/>
      <c r="BG348" s="117"/>
      <c r="BH348" s="117"/>
      <c r="BI348" s="117"/>
      <c r="BJ348" s="117"/>
      <c r="BK348" s="117"/>
      <c r="BL348" s="117"/>
      <c r="BM348" s="117"/>
      <c r="BN348" s="117"/>
      <c r="BO348" s="117"/>
      <c r="BP348" s="117"/>
      <c r="BQ348" s="117"/>
      <c r="BR348" s="117"/>
      <c r="BS348" s="117"/>
      <c r="BT348" s="117"/>
      <c r="BU348" s="117"/>
      <c r="BV348" s="117"/>
      <c r="BW348" s="117"/>
      <c r="BX348" s="117"/>
      <c r="BY348" s="117"/>
      <c r="BZ348" s="117"/>
      <c r="CA348" s="117"/>
      <c r="CB348" s="117"/>
      <c r="CC348" s="117"/>
      <c r="CD348" s="117"/>
      <c r="CE348" s="117"/>
      <c r="CF348" s="117"/>
      <c r="CG348" s="117"/>
      <c r="CH348" s="117"/>
      <c r="CI348" s="117"/>
      <c r="CJ348" s="117"/>
      <c r="CK348" s="117"/>
      <c r="CL348" s="117"/>
      <c r="CM348" s="117"/>
      <c r="CN348" s="117"/>
      <c r="CO348" s="117"/>
      <c r="CP348" s="117"/>
      <c r="CQ348" s="117"/>
      <c r="CR348" s="117"/>
      <c r="CS348" s="117"/>
      <c r="CT348" s="117"/>
      <c r="CU348" s="117"/>
      <c r="CV348" s="117"/>
      <c r="CW348" s="117"/>
    </row>
    <row r="349" spans="1:101" s="175" customFormat="1" x14ac:dyDescent="0.2">
      <c r="A349" s="144">
        <f t="shared" si="91"/>
        <v>313</v>
      </c>
      <c r="B349" s="144"/>
      <c r="C349" s="49"/>
      <c r="D349" s="49" t="s">
        <v>572</v>
      </c>
      <c r="E349" s="145" t="s">
        <v>573</v>
      </c>
      <c r="F349" s="145"/>
      <c r="G349" s="48">
        <f t="shared" ref="G349" si="100">H348+1</f>
        <v>369</v>
      </c>
      <c r="H349" s="48">
        <f t="shared" ref="H349" si="101">H348+I349</f>
        <v>383</v>
      </c>
      <c r="I349" s="229">
        <v>15</v>
      </c>
      <c r="J349" s="147" t="s">
        <v>18</v>
      </c>
      <c r="K349" s="264"/>
      <c r="L349" s="147">
        <v>2</v>
      </c>
      <c r="M349" s="48"/>
      <c r="N349" s="48" t="s">
        <v>574</v>
      </c>
      <c r="O349" s="117"/>
      <c r="P349" s="117"/>
      <c r="Q349" s="117"/>
      <c r="R349" s="117"/>
      <c r="S349" s="117"/>
      <c r="T349" s="117"/>
      <c r="U349" s="117"/>
      <c r="V349" s="117"/>
      <c r="W349" s="117"/>
      <c r="X349" s="117"/>
      <c r="Y349" s="117"/>
      <c r="Z349" s="117"/>
      <c r="AA349" s="117"/>
      <c r="AB349" s="117"/>
      <c r="AC349" s="117"/>
      <c r="AD349" s="117"/>
      <c r="AE349" s="117"/>
      <c r="AF349" s="117"/>
      <c r="AG349" s="117"/>
      <c r="AH349" s="117"/>
      <c r="AI349" s="117"/>
      <c r="AJ349" s="117"/>
      <c r="AK349" s="117"/>
      <c r="AL349" s="117"/>
      <c r="AM349" s="117"/>
      <c r="AN349" s="117"/>
      <c r="AO349" s="117"/>
      <c r="AP349" s="117"/>
      <c r="AQ349" s="117"/>
      <c r="AR349" s="117"/>
      <c r="AS349" s="117"/>
      <c r="AT349" s="117"/>
      <c r="AU349" s="117"/>
      <c r="AV349" s="117"/>
      <c r="AW349" s="117"/>
      <c r="AX349" s="117"/>
      <c r="AY349" s="117"/>
      <c r="AZ349" s="117"/>
      <c r="BA349" s="117"/>
      <c r="BB349" s="117"/>
      <c r="BC349" s="117"/>
      <c r="BD349" s="117"/>
      <c r="BE349" s="117"/>
      <c r="BF349" s="117"/>
      <c r="BG349" s="117"/>
      <c r="BH349" s="117"/>
      <c r="BI349" s="117"/>
      <c r="BJ349" s="117"/>
      <c r="BK349" s="117"/>
      <c r="BL349" s="117"/>
      <c r="BM349" s="117"/>
      <c r="BN349" s="117"/>
      <c r="BO349" s="117"/>
      <c r="BP349" s="117"/>
      <c r="BQ349" s="117"/>
      <c r="BR349" s="117"/>
      <c r="BS349" s="117"/>
      <c r="BT349" s="117"/>
      <c r="BU349" s="117"/>
      <c r="BV349" s="117"/>
      <c r="BW349" s="117"/>
      <c r="BX349" s="117"/>
      <c r="BY349" s="117"/>
      <c r="BZ349" s="117"/>
      <c r="CA349" s="117"/>
      <c r="CB349" s="117"/>
      <c r="CC349" s="117"/>
      <c r="CD349" s="117"/>
      <c r="CE349" s="117"/>
      <c r="CF349" s="117"/>
      <c r="CG349" s="117"/>
      <c r="CH349" s="117"/>
      <c r="CI349" s="117"/>
      <c r="CJ349" s="117"/>
      <c r="CK349" s="117"/>
      <c r="CL349" s="117"/>
      <c r="CM349" s="117"/>
      <c r="CN349" s="117"/>
      <c r="CO349" s="117"/>
      <c r="CP349" s="117"/>
      <c r="CQ349" s="117"/>
      <c r="CR349" s="117"/>
      <c r="CS349" s="117"/>
      <c r="CT349" s="117"/>
      <c r="CU349" s="117"/>
      <c r="CV349" s="117"/>
      <c r="CW349" s="117"/>
    </row>
    <row r="350" spans="1:101" s="175" customFormat="1" ht="51" x14ac:dyDescent="0.2">
      <c r="A350" s="144">
        <f t="shared" si="91"/>
        <v>314</v>
      </c>
      <c r="B350" s="144"/>
      <c r="C350" s="49"/>
      <c r="D350" s="49" t="s">
        <v>575</v>
      </c>
      <c r="E350" s="145" t="s">
        <v>576</v>
      </c>
      <c r="F350" s="145"/>
      <c r="G350" s="48">
        <f t="shared" ref="G350" si="102">H349+1</f>
        <v>384</v>
      </c>
      <c r="H350" s="48">
        <f t="shared" ref="H350" si="103">H349+I350</f>
        <v>385</v>
      </c>
      <c r="I350" s="229">
        <v>2</v>
      </c>
      <c r="J350" s="147" t="s">
        <v>18</v>
      </c>
      <c r="K350" s="264"/>
      <c r="L350" s="147"/>
      <c r="M350" s="48"/>
      <c r="N350" s="48" t="s">
        <v>577</v>
      </c>
      <c r="O350" s="117"/>
      <c r="P350" s="117"/>
      <c r="Q350" s="117"/>
      <c r="R350" s="117"/>
      <c r="S350" s="117"/>
      <c r="T350" s="117"/>
      <c r="U350" s="117"/>
      <c r="V350" s="117"/>
      <c r="W350" s="117"/>
      <c r="X350" s="117"/>
      <c r="Y350" s="117"/>
      <c r="Z350" s="117"/>
      <c r="AA350" s="117"/>
      <c r="AB350" s="117"/>
      <c r="AC350" s="117"/>
      <c r="AD350" s="117"/>
      <c r="AE350" s="117"/>
      <c r="AF350" s="117"/>
      <c r="AG350" s="117"/>
      <c r="AH350" s="117"/>
      <c r="AI350" s="117"/>
      <c r="AJ350" s="117"/>
      <c r="AK350" s="117"/>
      <c r="AL350" s="117"/>
      <c r="AM350" s="117"/>
      <c r="AN350" s="117"/>
      <c r="AO350" s="117"/>
      <c r="AP350" s="117"/>
      <c r="AQ350" s="117"/>
      <c r="AR350" s="117"/>
      <c r="AS350" s="117"/>
      <c r="AT350" s="117"/>
      <c r="AU350" s="117"/>
      <c r="AV350" s="117"/>
      <c r="AW350" s="117"/>
      <c r="AX350" s="117"/>
      <c r="AY350" s="117"/>
      <c r="AZ350" s="117"/>
      <c r="BA350" s="117"/>
      <c r="BB350" s="117"/>
      <c r="BC350" s="117"/>
      <c r="BD350" s="117"/>
      <c r="BE350" s="117"/>
      <c r="BF350" s="117"/>
      <c r="BG350" s="117"/>
      <c r="BH350" s="117"/>
      <c r="BI350" s="117"/>
      <c r="BJ350" s="117"/>
      <c r="BK350" s="117"/>
      <c r="BL350" s="117"/>
      <c r="BM350" s="117"/>
      <c r="BN350" s="117"/>
      <c r="BO350" s="117"/>
      <c r="BP350" s="117"/>
      <c r="BQ350" s="117"/>
      <c r="BR350" s="117"/>
      <c r="BS350" s="117"/>
      <c r="BT350" s="117"/>
      <c r="BU350" s="117"/>
      <c r="BV350" s="117"/>
      <c r="BW350" s="117"/>
      <c r="BX350" s="117"/>
      <c r="BY350" s="117"/>
      <c r="BZ350" s="117"/>
      <c r="CA350" s="117"/>
      <c r="CB350" s="117"/>
      <c r="CC350" s="117"/>
      <c r="CD350" s="117"/>
      <c r="CE350" s="117"/>
      <c r="CF350" s="117"/>
      <c r="CG350" s="117"/>
      <c r="CH350" s="117"/>
      <c r="CI350" s="117"/>
      <c r="CJ350" s="117"/>
      <c r="CK350" s="117"/>
      <c r="CL350" s="117"/>
      <c r="CM350" s="117"/>
      <c r="CN350" s="117"/>
      <c r="CO350" s="117"/>
      <c r="CP350" s="117"/>
      <c r="CQ350" s="117"/>
      <c r="CR350" s="117"/>
      <c r="CS350" s="117"/>
      <c r="CT350" s="117"/>
      <c r="CU350" s="117"/>
      <c r="CV350" s="117"/>
      <c r="CW350" s="117"/>
    </row>
    <row r="351" spans="1:101" s="175" customFormat="1" ht="25.5" x14ac:dyDescent="0.2">
      <c r="A351" s="144">
        <f t="shared" si="91"/>
        <v>315</v>
      </c>
      <c r="B351" s="144"/>
      <c r="C351" s="49"/>
      <c r="D351" s="49" t="s">
        <v>578</v>
      </c>
      <c r="E351" s="145" t="s">
        <v>579</v>
      </c>
      <c r="F351" s="145"/>
      <c r="G351" s="48">
        <f t="shared" ref="G351" si="104">H350+1</f>
        <v>386</v>
      </c>
      <c r="H351" s="48">
        <f t="shared" ref="H351" si="105">H350+I351</f>
        <v>390</v>
      </c>
      <c r="I351" s="229">
        <v>5</v>
      </c>
      <c r="J351" s="147" t="s">
        <v>18</v>
      </c>
      <c r="K351" s="264"/>
      <c r="L351" s="147">
        <v>4</v>
      </c>
      <c r="M351" s="48"/>
      <c r="N351" s="48" t="s">
        <v>580</v>
      </c>
      <c r="O351" s="117"/>
      <c r="P351" s="117"/>
      <c r="Q351" s="117"/>
      <c r="R351" s="117"/>
      <c r="S351" s="117"/>
      <c r="T351" s="117"/>
      <c r="U351" s="117"/>
      <c r="V351" s="117"/>
      <c r="W351" s="117"/>
      <c r="X351" s="117"/>
      <c r="Y351" s="117"/>
      <c r="Z351" s="117"/>
      <c r="AA351" s="117"/>
      <c r="AB351" s="117"/>
      <c r="AC351" s="117"/>
      <c r="AD351" s="117"/>
      <c r="AE351" s="117"/>
      <c r="AF351" s="117"/>
      <c r="AG351" s="117"/>
      <c r="AH351" s="117"/>
      <c r="AI351" s="117"/>
      <c r="AJ351" s="117"/>
      <c r="AK351" s="117"/>
      <c r="AL351" s="117"/>
      <c r="AM351" s="117"/>
      <c r="AN351" s="117"/>
      <c r="AO351" s="117"/>
      <c r="AP351" s="117"/>
      <c r="AQ351" s="117"/>
      <c r="AR351" s="117"/>
      <c r="AS351" s="117"/>
      <c r="AT351" s="117"/>
      <c r="AU351" s="117"/>
      <c r="AV351" s="117"/>
      <c r="AW351" s="117"/>
      <c r="AX351" s="117"/>
      <c r="AY351" s="117"/>
      <c r="AZ351" s="117"/>
      <c r="BA351" s="117"/>
      <c r="BB351" s="117"/>
      <c r="BC351" s="117"/>
      <c r="BD351" s="117"/>
      <c r="BE351" s="117"/>
      <c r="BF351" s="117"/>
      <c r="BG351" s="117"/>
      <c r="BH351" s="117"/>
      <c r="BI351" s="117"/>
      <c r="BJ351" s="117"/>
      <c r="BK351" s="117"/>
      <c r="BL351" s="117"/>
      <c r="BM351" s="117"/>
      <c r="BN351" s="117"/>
      <c r="BO351" s="117"/>
      <c r="BP351" s="117"/>
      <c r="BQ351" s="117"/>
      <c r="BR351" s="117"/>
      <c r="BS351" s="117"/>
      <c r="BT351" s="117"/>
      <c r="BU351" s="117"/>
      <c r="BV351" s="117"/>
      <c r="BW351" s="117"/>
      <c r="BX351" s="117"/>
      <c r="BY351" s="117"/>
      <c r="BZ351" s="117"/>
      <c r="CA351" s="117"/>
      <c r="CB351" s="117"/>
      <c r="CC351" s="117"/>
      <c r="CD351" s="117"/>
      <c r="CE351" s="117"/>
      <c r="CF351" s="117"/>
      <c r="CG351" s="117"/>
      <c r="CH351" s="117"/>
      <c r="CI351" s="117"/>
      <c r="CJ351" s="117"/>
      <c r="CK351" s="117"/>
      <c r="CL351" s="117"/>
      <c r="CM351" s="117"/>
      <c r="CN351" s="117"/>
      <c r="CO351" s="117"/>
      <c r="CP351" s="117"/>
      <c r="CQ351" s="117"/>
      <c r="CR351" s="117"/>
      <c r="CS351" s="117"/>
      <c r="CT351" s="117"/>
      <c r="CU351" s="117"/>
      <c r="CV351" s="117"/>
      <c r="CW351" s="117"/>
    </row>
    <row r="352" spans="1:101" s="175" customFormat="1" x14ac:dyDescent="0.2">
      <c r="A352" s="144">
        <f t="shared" si="91"/>
        <v>316</v>
      </c>
      <c r="B352" s="144"/>
      <c r="C352" s="49"/>
      <c r="D352" s="49" t="s">
        <v>581</v>
      </c>
      <c r="E352" s="145" t="s">
        <v>582</v>
      </c>
      <c r="F352" s="145"/>
      <c r="G352" s="48">
        <f t="shared" ref="G352" si="106">H351+1</f>
        <v>391</v>
      </c>
      <c r="H352" s="48">
        <f t="shared" ref="H352" si="107">H351+I352</f>
        <v>405</v>
      </c>
      <c r="I352" s="229">
        <v>15</v>
      </c>
      <c r="J352" s="147" t="s">
        <v>18</v>
      </c>
      <c r="K352" s="264"/>
      <c r="L352" s="147">
        <v>2</v>
      </c>
      <c r="M352" s="48"/>
      <c r="N352" s="48" t="s">
        <v>581</v>
      </c>
      <c r="O352" s="117"/>
      <c r="P352" s="117"/>
      <c r="Q352" s="117"/>
      <c r="R352" s="117"/>
      <c r="S352" s="117"/>
      <c r="T352" s="117"/>
      <c r="U352" s="117"/>
      <c r="V352" s="117"/>
      <c r="W352" s="117"/>
      <c r="X352" s="117"/>
      <c r="Y352" s="117"/>
      <c r="Z352" s="117"/>
      <c r="AA352" s="117"/>
      <c r="AB352" s="117"/>
      <c r="AC352" s="117"/>
      <c r="AD352" s="117"/>
      <c r="AE352" s="117"/>
      <c r="AF352" s="117"/>
      <c r="AG352" s="117"/>
      <c r="AH352" s="117"/>
      <c r="AI352" s="117"/>
      <c r="AJ352" s="117"/>
      <c r="AK352" s="117"/>
      <c r="AL352" s="117"/>
      <c r="AM352" s="117"/>
      <c r="AN352" s="117"/>
      <c r="AO352" s="117"/>
      <c r="AP352" s="117"/>
      <c r="AQ352" s="117"/>
      <c r="AR352" s="117"/>
      <c r="AS352" s="117"/>
      <c r="AT352" s="117"/>
      <c r="AU352" s="117"/>
      <c r="AV352" s="117"/>
      <c r="AW352" s="117"/>
      <c r="AX352" s="117"/>
      <c r="AY352" s="117"/>
      <c r="AZ352" s="117"/>
      <c r="BA352" s="117"/>
      <c r="BB352" s="117"/>
      <c r="BC352" s="117"/>
      <c r="BD352" s="117"/>
      <c r="BE352" s="117"/>
      <c r="BF352" s="117"/>
      <c r="BG352" s="117"/>
      <c r="BH352" s="117"/>
      <c r="BI352" s="117"/>
      <c r="BJ352" s="117"/>
      <c r="BK352" s="117"/>
      <c r="BL352" s="117"/>
      <c r="BM352" s="117"/>
      <c r="BN352" s="117"/>
      <c r="BO352" s="117"/>
      <c r="BP352" s="117"/>
      <c r="BQ352" s="117"/>
      <c r="BR352" s="117"/>
      <c r="BS352" s="117"/>
      <c r="BT352" s="117"/>
      <c r="BU352" s="117"/>
      <c r="BV352" s="117"/>
      <c r="BW352" s="117"/>
      <c r="BX352" s="117"/>
      <c r="BY352" s="117"/>
      <c r="BZ352" s="117"/>
      <c r="CA352" s="117"/>
      <c r="CB352" s="117"/>
      <c r="CC352" s="117"/>
      <c r="CD352" s="117"/>
      <c r="CE352" s="117"/>
      <c r="CF352" s="117"/>
      <c r="CG352" s="117"/>
      <c r="CH352" s="117"/>
      <c r="CI352" s="117"/>
      <c r="CJ352" s="117"/>
      <c r="CK352" s="117"/>
      <c r="CL352" s="117"/>
      <c r="CM352" s="117"/>
      <c r="CN352" s="117"/>
      <c r="CO352" s="117"/>
      <c r="CP352" s="117"/>
      <c r="CQ352" s="117"/>
      <c r="CR352" s="117"/>
      <c r="CS352" s="117"/>
      <c r="CT352" s="117"/>
      <c r="CU352" s="117"/>
      <c r="CV352" s="117"/>
      <c r="CW352" s="117"/>
    </row>
    <row r="353" spans="1:101" s="175" customFormat="1" x14ac:dyDescent="0.2">
      <c r="A353" s="144">
        <f t="shared" si="91"/>
        <v>317</v>
      </c>
      <c r="B353" s="144"/>
      <c r="C353" s="49"/>
      <c r="D353" s="49" t="s">
        <v>583</v>
      </c>
      <c r="E353" s="145" t="s">
        <v>584</v>
      </c>
      <c r="F353" s="145"/>
      <c r="G353" s="48">
        <f t="shared" ref="G353" si="108">H352+1</f>
        <v>406</v>
      </c>
      <c r="H353" s="48">
        <f t="shared" ref="H353" si="109">H352+I353</f>
        <v>420</v>
      </c>
      <c r="I353" s="229">
        <v>15</v>
      </c>
      <c r="J353" s="147" t="s">
        <v>18</v>
      </c>
      <c r="K353" s="264"/>
      <c r="L353" s="147">
        <v>2</v>
      </c>
      <c r="M353" s="48"/>
      <c r="N353" s="48" t="s">
        <v>585</v>
      </c>
      <c r="O353" s="117"/>
      <c r="P353" s="117"/>
      <c r="Q353" s="117"/>
      <c r="R353" s="117"/>
      <c r="S353" s="117"/>
      <c r="T353" s="117"/>
      <c r="U353" s="117"/>
      <c r="V353" s="117"/>
      <c r="W353" s="117"/>
      <c r="X353" s="117"/>
      <c r="Y353" s="117"/>
      <c r="Z353" s="117"/>
      <c r="AA353" s="117"/>
      <c r="AB353" s="117"/>
      <c r="AC353" s="117"/>
      <c r="AD353" s="117"/>
      <c r="AE353" s="117"/>
      <c r="AF353" s="117"/>
      <c r="AG353" s="117"/>
      <c r="AH353" s="117"/>
      <c r="AI353" s="117"/>
      <c r="AJ353" s="117"/>
      <c r="AK353" s="117"/>
      <c r="AL353" s="117"/>
      <c r="AM353" s="117"/>
      <c r="AN353" s="117"/>
      <c r="AO353" s="117"/>
      <c r="AP353" s="117"/>
      <c r="AQ353" s="117"/>
      <c r="AR353" s="117"/>
      <c r="AS353" s="117"/>
      <c r="AT353" s="117"/>
      <c r="AU353" s="117"/>
      <c r="AV353" s="117"/>
      <c r="AW353" s="117"/>
      <c r="AX353" s="117"/>
      <c r="AY353" s="117"/>
      <c r="AZ353" s="117"/>
      <c r="BA353" s="117"/>
      <c r="BB353" s="117"/>
      <c r="BC353" s="117"/>
      <c r="BD353" s="117"/>
      <c r="BE353" s="117"/>
      <c r="BF353" s="117"/>
      <c r="BG353" s="117"/>
      <c r="BH353" s="117"/>
      <c r="BI353" s="117"/>
      <c r="BJ353" s="117"/>
      <c r="BK353" s="117"/>
      <c r="BL353" s="117"/>
      <c r="BM353" s="117"/>
      <c r="BN353" s="117"/>
      <c r="BO353" s="117"/>
      <c r="BP353" s="117"/>
      <c r="BQ353" s="117"/>
      <c r="BR353" s="117"/>
      <c r="BS353" s="117"/>
      <c r="BT353" s="117"/>
      <c r="BU353" s="117"/>
      <c r="BV353" s="117"/>
      <c r="BW353" s="117"/>
      <c r="BX353" s="117"/>
      <c r="BY353" s="117"/>
      <c r="BZ353" s="117"/>
      <c r="CA353" s="117"/>
      <c r="CB353" s="117"/>
      <c r="CC353" s="117"/>
      <c r="CD353" s="117"/>
      <c r="CE353" s="117"/>
      <c r="CF353" s="117"/>
      <c r="CG353" s="117"/>
      <c r="CH353" s="117"/>
      <c r="CI353" s="117"/>
      <c r="CJ353" s="117"/>
      <c r="CK353" s="117"/>
      <c r="CL353" s="117"/>
      <c r="CM353" s="117"/>
      <c r="CN353" s="117"/>
      <c r="CO353" s="117"/>
      <c r="CP353" s="117"/>
      <c r="CQ353" s="117"/>
      <c r="CR353" s="117"/>
      <c r="CS353" s="117"/>
      <c r="CT353" s="117"/>
      <c r="CU353" s="117"/>
      <c r="CV353" s="117"/>
      <c r="CW353" s="117"/>
    </row>
    <row r="354" spans="1:101" s="175" customFormat="1" ht="63.75" x14ac:dyDescent="0.2">
      <c r="A354" s="144">
        <f t="shared" si="91"/>
        <v>318</v>
      </c>
      <c r="B354" s="144"/>
      <c r="C354" s="49" t="s">
        <v>1491</v>
      </c>
      <c r="D354" s="48" t="s">
        <v>1488</v>
      </c>
      <c r="E354" s="145" t="s">
        <v>1490</v>
      </c>
      <c r="F354" s="145"/>
      <c r="G354" s="48">
        <v>421</v>
      </c>
      <c r="H354" s="48">
        <v>421</v>
      </c>
      <c r="I354" s="229">
        <v>1</v>
      </c>
      <c r="J354" s="147" t="s">
        <v>18</v>
      </c>
      <c r="K354" s="264"/>
      <c r="L354" s="147"/>
      <c r="M354" s="48"/>
      <c r="N354" s="48" t="s">
        <v>1489</v>
      </c>
      <c r="O354" s="117"/>
      <c r="P354" s="117"/>
      <c r="Q354" s="117"/>
      <c r="R354" s="117"/>
      <c r="S354" s="117"/>
      <c r="T354" s="117"/>
      <c r="U354" s="117"/>
      <c r="V354" s="117"/>
      <c r="W354" s="117"/>
      <c r="X354" s="117"/>
      <c r="Y354" s="117"/>
      <c r="Z354" s="117"/>
      <c r="AA354" s="117"/>
      <c r="AB354" s="117"/>
      <c r="AC354" s="117"/>
      <c r="AD354" s="117"/>
      <c r="AE354" s="117"/>
      <c r="AF354" s="117"/>
      <c r="AG354" s="117"/>
      <c r="AH354" s="117"/>
      <c r="AI354" s="117"/>
      <c r="AJ354" s="117"/>
      <c r="AK354" s="117"/>
      <c r="AL354" s="117"/>
      <c r="AM354" s="117"/>
      <c r="AN354" s="117"/>
      <c r="AO354" s="117"/>
      <c r="AP354" s="117"/>
      <c r="AQ354" s="117"/>
      <c r="AR354" s="117"/>
      <c r="AS354" s="117"/>
      <c r="AT354" s="117"/>
      <c r="AU354" s="117"/>
      <c r="AV354" s="117"/>
      <c r="AW354" s="117"/>
      <c r="AX354" s="117"/>
      <c r="AY354" s="117"/>
      <c r="AZ354" s="117"/>
      <c r="BA354" s="117"/>
      <c r="BB354" s="117"/>
      <c r="BC354" s="117"/>
      <c r="BD354" s="117"/>
      <c r="BE354" s="117"/>
      <c r="BF354" s="117"/>
      <c r="BG354" s="117"/>
      <c r="BH354" s="117"/>
      <c r="BI354" s="117"/>
      <c r="BJ354" s="117"/>
      <c r="BK354" s="117"/>
      <c r="BL354" s="117"/>
      <c r="BM354" s="117"/>
      <c r="BN354" s="117"/>
      <c r="BO354" s="117"/>
      <c r="BP354" s="117"/>
      <c r="BQ354" s="117"/>
      <c r="BR354" s="117"/>
      <c r="BS354" s="117"/>
      <c r="BT354" s="117"/>
      <c r="BU354" s="117"/>
      <c r="BV354" s="117"/>
      <c r="BW354" s="117"/>
      <c r="BX354" s="117"/>
      <c r="BY354" s="117"/>
      <c r="BZ354" s="117"/>
      <c r="CA354" s="117"/>
      <c r="CB354" s="117"/>
      <c r="CC354" s="117"/>
      <c r="CD354" s="117"/>
      <c r="CE354" s="117"/>
      <c r="CF354" s="117"/>
      <c r="CG354" s="117"/>
      <c r="CH354" s="117"/>
      <c r="CI354" s="117"/>
      <c r="CJ354" s="117"/>
      <c r="CK354" s="117"/>
      <c r="CL354" s="117"/>
      <c r="CM354" s="117"/>
      <c r="CN354" s="117"/>
      <c r="CO354" s="117"/>
      <c r="CP354" s="117"/>
      <c r="CQ354" s="117"/>
      <c r="CR354" s="117"/>
      <c r="CS354" s="117"/>
      <c r="CT354" s="117"/>
      <c r="CU354" s="117"/>
      <c r="CV354" s="117"/>
      <c r="CW354" s="117"/>
    </row>
    <row r="355" spans="1:101" ht="15" x14ac:dyDescent="0.2">
      <c r="A355" s="288">
        <v>319</v>
      </c>
      <c r="B355" s="292"/>
      <c r="C355" s="293"/>
      <c r="D355" s="294" t="s">
        <v>28</v>
      </c>
      <c r="E355" s="289" t="s">
        <v>14</v>
      </c>
      <c r="F355" s="289"/>
      <c r="G355" s="290">
        <v>422</v>
      </c>
      <c r="H355" s="290">
        <v>600</v>
      </c>
      <c r="I355" s="290">
        <f>H355-G355</f>
        <v>178</v>
      </c>
      <c r="J355" s="290" t="s">
        <v>15</v>
      </c>
      <c r="K355" s="289"/>
      <c r="L355" s="290"/>
      <c r="M355" s="291"/>
      <c r="N355" s="295" t="s">
        <v>29</v>
      </c>
    </row>
    <row r="356" spans="1:101" ht="14.45" customHeight="1" x14ac:dyDescent="0.2">
      <c r="A356" s="324"/>
      <c r="B356" s="325"/>
      <c r="C356" s="325"/>
      <c r="D356" s="325"/>
      <c r="E356" s="325"/>
      <c r="F356" s="325"/>
      <c r="G356" s="325"/>
      <c r="H356" s="325"/>
      <c r="I356" s="325"/>
      <c r="J356" s="325"/>
      <c r="K356" s="325"/>
      <c r="L356" s="325"/>
      <c r="M356" s="325"/>
      <c r="N356" s="326"/>
    </row>
    <row r="357" spans="1:101" x14ac:dyDescent="0.2">
      <c r="A357" s="144">
        <f>A355+1</f>
        <v>320</v>
      </c>
      <c r="B357" s="144"/>
      <c r="C357" s="163" t="s">
        <v>586</v>
      </c>
      <c r="D357" s="164"/>
      <c r="E357" s="106" t="s">
        <v>14</v>
      </c>
      <c r="F357" s="106"/>
      <c r="G357" s="107">
        <f>$H$16+1</f>
        <v>7</v>
      </c>
      <c r="H357" s="107">
        <f>I357+$H$16</f>
        <v>9</v>
      </c>
      <c r="I357" s="107">
        <v>3</v>
      </c>
      <c r="J357" s="107" t="s">
        <v>18</v>
      </c>
      <c r="K357" s="106"/>
      <c r="L357" s="107"/>
      <c r="M357" s="108"/>
      <c r="N357" s="164" t="s">
        <v>587</v>
      </c>
    </row>
    <row r="358" spans="1:101" ht="15" x14ac:dyDescent="0.2">
      <c r="A358" s="144">
        <f t="shared" si="91"/>
        <v>321</v>
      </c>
      <c r="B358" s="144"/>
      <c r="C358" s="112"/>
      <c r="D358" s="166" t="s">
        <v>267</v>
      </c>
      <c r="E358" s="110">
        <v>99</v>
      </c>
      <c r="F358" s="110"/>
      <c r="G358" s="107">
        <f t="shared" ref="G358:G369" si="110">H357+1</f>
        <v>10</v>
      </c>
      <c r="H358" s="107">
        <f t="shared" ref="H358:H369" si="111">H357+I358</f>
        <v>12</v>
      </c>
      <c r="I358" s="111">
        <v>3</v>
      </c>
      <c r="J358" s="111" t="s">
        <v>18</v>
      </c>
      <c r="K358" s="124"/>
      <c r="L358" s="107"/>
      <c r="M358" s="108"/>
      <c r="N358" s="108" t="s">
        <v>268</v>
      </c>
    </row>
    <row r="359" spans="1:101" ht="15" x14ac:dyDescent="0.2">
      <c r="A359" s="144">
        <f t="shared" si="91"/>
        <v>322</v>
      </c>
      <c r="B359" s="144"/>
      <c r="C359" s="112"/>
      <c r="D359" s="105" t="s">
        <v>588</v>
      </c>
      <c r="E359" s="124">
        <v>247</v>
      </c>
      <c r="F359" s="124"/>
      <c r="G359" s="107">
        <f t="shared" si="110"/>
        <v>13</v>
      </c>
      <c r="H359" s="107">
        <f t="shared" si="111"/>
        <v>17</v>
      </c>
      <c r="I359" s="125">
        <v>5</v>
      </c>
      <c r="J359" s="125" t="s">
        <v>15</v>
      </c>
      <c r="K359" s="110"/>
      <c r="L359" s="125"/>
      <c r="M359" s="108"/>
      <c r="N359" s="108" t="s">
        <v>589</v>
      </c>
    </row>
    <row r="360" spans="1:101" ht="15" x14ac:dyDescent="0.2">
      <c r="A360" s="144">
        <f t="shared" si="91"/>
        <v>323</v>
      </c>
      <c r="B360" s="144"/>
      <c r="C360" s="112"/>
      <c r="D360" s="105" t="s">
        <v>590</v>
      </c>
      <c r="E360" s="124">
        <v>248</v>
      </c>
      <c r="F360" s="124"/>
      <c r="G360" s="107">
        <f t="shared" si="110"/>
        <v>18</v>
      </c>
      <c r="H360" s="107">
        <f t="shared" si="111"/>
        <v>31</v>
      </c>
      <c r="I360" s="125">
        <v>14</v>
      </c>
      <c r="J360" s="125" t="s">
        <v>15</v>
      </c>
      <c r="K360" s="110"/>
      <c r="L360" s="125"/>
      <c r="M360" s="108"/>
      <c r="N360" s="108"/>
    </row>
    <row r="361" spans="1:101" ht="15" x14ac:dyDescent="0.2">
      <c r="A361" s="144">
        <f t="shared" si="91"/>
        <v>324</v>
      </c>
      <c r="B361" s="144"/>
      <c r="C361" s="112"/>
      <c r="D361" s="105" t="s">
        <v>591</v>
      </c>
      <c r="E361" s="124">
        <v>249</v>
      </c>
      <c r="F361" s="124"/>
      <c r="G361" s="107">
        <f t="shared" si="110"/>
        <v>32</v>
      </c>
      <c r="H361" s="107">
        <f t="shared" si="111"/>
        <v>91</v>
      </c>
      <c r="I361" s="125">
        <v>60</v>
      </c>
      <c r="J361" s="125" t="s">
        <v>15</v>
      </c>
      <c r="K361" s="110"/>
      <c r="L361" s="125"/>
      <c r="M361" s="108"/>
      <c r="N361" s="108"/>
    </row>
    <row r="362" spans="1:101" ht="15" x14ac:dyDescent="0.2">
      <c r="A362" s="144">
        <f t="shared" si="91"/>
        <v>325</v>
      </c>
      <c r="B362" s="144"/>
      <c r="C362" s="112"/>
      <c r="D362" s="105" t="s">
        <v>592</v>
      </c>
      <c r="E362" s="124">
        <v>250</v>
      </c>
      <c r="F362" s="124"/>
      <c r="G362" s="107">
        <f t="shared" si="110"/>
        <v>92</v>
      </c>
      <c r="H362" s="107">
        <f t="shared" si="111"/>
        <v>103</v>
      </c>
      <c r="I362" s="125">
        <v>12</v>
      </c>
      <c r="J362" s="125" t="s">
        <v>18</v>
      </c>
      <c r="K362" s="110"/>
      <c r="L362" s="125"/>
      <c r="M362" s="108"/>
      <c r="N362" s="108"/>
    </row>
    <row r="363" spans="1:101" ht="15" x14ac:dyDescent="0.2">
      <c r="A363" s="144">
        <f t="shared" si="91"/>
        <v>326</v>
      </c>
      <c r="B363" s="144"/>
      <c r="C363" s="112"/>
      <c r="D363" s="105" t="s">
        <v>593</v>
      </c>
      <c r="E363" s="124">
        <v>251</v>
      </c>
      <c r="F363" s="124"/>
      <c r="G363" s="107">
        <f t="shared" si="110"/>
        <v>104</v>
      </c>
      <c r="H363" s="107">
        <f t="shared" si="111"/>
        <v>106</v>
      </c>
      <c r="I363" s="125">
        <v>3</v>
      </c>
      <c r="J363" s="125" t="s">
        <v>18</v>
      </c>
      <c r="K363" s="110"/>
      <c r="L363" s="125"/>
      <c r="M363" s="108"/>
      <c r="N363" s="108"/>
    </row>
    <row r="364" spans="1:101" ht="178.5" x14ac:dyDescent="0.2">
      <c r="A364" s="144">
        <f t="shared" si="91"/>
        <v>327</v>
      </c>
      <c r="B364" s="144"/>
      <c r="C364" s="112"/>
      <c r="D364" s="105" t="s">
        <v>594</v>
      </c>
      <c r="E364" s="106" t="s">
        <v>595</v>
      </c>
      <c r="F364" s="106"/>
      <c r="G364" s="107">
        <f t="shared" si="110"/>
        <v>107</v>
      </c>
      <c r="H364" s="107">
        <f t="shared" si="111"/>
        <v>108</v>
      </c>
      <c r="I364" s="125">
        <v>2</v>
      </c>
      <c r="J364" s="125" t="s">
        <v>15</v>
      </c>
      <c r="K364" s="110"/>
      <c r="L364" s="125"/>
      <c r="M364" s="108"/>
      <c r="N364" s="108" t="s">
        <v>596</v>
      </c>
    </row>
    <row r="365" spans="1:101" ht="15" x14ac:dyDescent="0.2">
      <c r="A365" s="144">
        <f t="shared" si="91"/>
        <v>328</v>
      </c>
      <c r="B365" s="144"/>
      <c r="C365" s="112"/>
      <c r="D365" s="105" t="s">
        <v>597</v>
      </c>
      <c r="E365" s="124">
        <v>254</v>
      </c>
      <c r="F365" s="124"/>
      <c r="G365" s="107">
        <f t="shared" si="110"/>
        <v>109</v>
      </c>
      <c r="H365" s="107">
        <f t="shared" si="111"/>
        <v>123</v>
      </c>
      <c r="I365" s="125">
        <v>15</v>
      </c>
      <c r="J365" s="125" t="s">
        <v>18</v>
      </c>
      <c r="K365" s="110"/>
      <c r="L365" s="125">
        <v>2</v>
      </c>
      <c r="M365" s="108"/>
      <c r="N365" s="108"/>
    </row>
    <row r="366" spans="1:101" ht="15" x14ac:dyDescent="0.2">
      <c r="A366" s="144">
        <f t="shared" si="91"/>
        <v>329</v>
      </c>
      <c r="B366" s="144"/>
      <c r="C366" s="112"/>
      <c r="D366" s="105" t="s">
        <v>598</v>
      </c>
      <c r="E366" s="124">
        <v>255</v>
      </c>
      <c r="F366" s="124"/>
      <c r="G366" s="107">
        <f t="shared" si="110"/>
        <v>124</v>
      </c>
      <c r="H366" s="107">
        <f t="shared" si="111"/>
        <v>139</v>
      </c>
      <c r="I366" s="125">
        <v>16</v>
      </c>
      <c r="J366" s="125" t="s">
        <v>18</v>
      </c>
      <c r="K366" s="110"/>
      <c r="L366" s="125">
        <v>4</v>
      </c>
      <c r="M366" s="108"/>
      <c r="N366" s="108" t="s">
        <v>599</v>
      </c>
    </row>
    <row r="367" spans="1:101" ht="15" x14ac:dyDescent="0.2">
      <c r="A367" s="144">
        <f t="shared" si="91"/>
        <v>330</v>
      </c>
      <c r="B367" s="144"/>
      <c r="C367" s="112"/>
      <c r="D367" s="105" t="s">
        <v>600</v>
      </c>
      <c r="E367" s="124">
        <v>256</v>
      </c>
      <c r="F367" s="124"/>
      <c r="G367" s="107">
        <f t="shared" si="110"/>
        <v>140</v>
      </c>
      <c r="H367" s="107">
        <f t="shared" si="111"/>
        <v>154</v>
      </c>
      <c r="I367" s="125">
        <v>15</v>
      </c>
      <c r="J367" s="125" t="s">
        <v>18</v>
      </c>
      <c r="K367" s="110"/>
      <c r="L367" s="125">
        <v>4</v>
      </c>
      <c r="M367" s="108"/>
      <c r="N367" s="108" t="s">
        <v>599</v>
      </c>
    </row>
    <row r="368" spans="1:101" ht="15" x14ac:dyDescent="0.2">
      <c r="A368" s="144">
        <f t="shared" si="91"/>
        <v>331</v>
      </c>
      <c r="B368" s="144"/>
      <c r="C368" s="112"/>
      <c r="D368" s="105" t="s">
        <v>601</v>
      </c>
      <c r="E368" s="124">
        <v>257</v>
      </c>
      <c r="F368" s="124"/>
      <c r="G368" s="107">
        <f t="shared" si="110"/>
        <v>155</v>
      </c>
      <c r="H368" s="107">
        <f t="shared" si="111"/>
        <v>159</v>
      </c>
      <c r="I368" s="125">
        <v>5</v>
      </c>
      <c r="J368" s="125" t="s">
        <v>18</v>
      </c>
      <c r="K368" s="110"/>
      <c r="L368" s="110" t="s">
        <v>490</v>
      </c>
      <c r="M368" s="108"/>
      <c r="N368" s="108" t="s">
        <v>602</v>
      </c>
    </row>
    <row r="369" spans="1:101" ht="15" x14ac:dyDescent="0.2">
      <c r="A369" s="144">
        <f t="shared" si="91"/>
        <v>332</v>
      </c>
      <c r="B369" s="144"/>
      <c r="C369" s="112"/>
      <c r="D369" s="105" t="s">
        <v>603</v>
      </c>
      <c r="E369" s="124">
        <v>259</v>
      </c>
      <c r="F369" s="124"/>
      <c r="G369" s="107">
        <f t="shared" si="110"/>
        <v>160</v>
      </c>
      <c r="H369" s="107">
        <f t="shared" si="111"/>
        <v>174</v>
      </c>
      <c r="I369" s="125">
        <v>15</v>
      </c>
      <c r="J369" s="125" t="s">
        <v>18</v>
      </c>
      <c r="K369" s="110"/>
      <c r="L369" s="125">
        <v>2</v>
      </c>
      <c r="M369" s="108"/>
      <c r="N369" s="108" t="s">
        <v>602</v>
      </c>
    </row>
    <row r="370" spans="1:101" s="248" customFormat="1" ht="15" x14ac:dyDescent="0.2">
      <c r="A370" s="241"/>
      <c r="B370" s="241"/>
      <c r="C370" s="242"/>
      <c r="D370" s="243" t="s">
        <v>1520</v>
      </c>
      <c r="E370" s="244" t="s">
        <v>1521</v>
      </c>
      <c r="F370" s="244"/>
      <c r="G370" s="245">
        <v>175</v>
      </c>
      <c r="H370" s="245">
        <v>175</v>
      </c>
      <c r="I370" s="246">
        <v>1</v>
      </c>
      <c r="J370" s="246"/>
      <c r="K370" s="265"/>
      <c r="L370" s="246"/>
      <c r="M370" s="247"/>
      <c r="N370" s="247"/>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row>
    <row r="371" spans="1:101" ht="15" x14ac:dyDescent="0.2">
      <c r="A371" s="288">
        <f>A369+1</f>
        <v>333</v>
      </c>
      <c r="B371" s="292"/>
      <c r="C371" s="293"/>
      <c r="D371" s="294" t="s">
        <v>28</v>
      </c>
      <c r="E371" s="289" t="s">
        <v>14</v>
      </c>
      <c r="F371" s="289"/>
      <c r="G371" s="290">
        <v>176</v>
      </c>
      <c r="H371" s="290">
        <v>600</v>
      </c>
      <c r="I371" s="290">
        <f>H371-H369</f>
        <v>426</v>
      </c>
      <c r="J371" s="290" t="s">
        <v>15</v>
      </c>
      <c r="K371" s="289"/>
      <c r="L371" s="290"/>
      <c r="M371" s="291"/>
      <c r="N371" s="295" t="s">
        <v>29</v>
      </c>
    </row>
    <row r="372" spans="1:101" ht="14.45" customHeight="1" x14ac:dyDescent="0.2">
      <c r="A372" s="324"/>
      <c r="B372" s="325"/>
      <c r="C372" s="325"/>
      <c r="D372" s="325"/>
      <c r="E372" s="325"/>
      <c r="F372" s="325"/>
      <c r="G372" s="325"/>
      <c r="H372" s="325"/>
      <c r="I372" s="325"/>
      <c r="J372" s="325"/>
      <c r="K372" s="325"/>
      <c r="L372" s="325"/>
      <c r="M372" s="325"/>
      <c r="N372" s="326"/>
    </row>
    <row r="373" spans="1:101" x14ac:dyDescent="0.2">
      <c r="A373" s="144">
        <f>A371+1</f>
        <v>334</v>
      </c>
      <c r="B373" s="144"/>
      <c r="C373" s="163" t="s">
        <v>604</v>
      </c>
      <c r="D373" s="164"/>
      <c r="E373" s="106" t="s">
        <v>14</v>
      </c>
      <c r="F373" s="106"/>
      <c r="G373" s="107">
        <f>$H$16+1</f>
        <v>7</v>
      </c>
      <c r="H373" s="107">
        <f>I373+$H$16</f>
        <v>9</v>
      </c>
      <c r="I373" s="107">
        <v>3</v>
      </c>
      <c r="J373" s="107" t="s">
        <v>18</v>
      </c>
      <c r="K373" s="106"/>
      <c r="L373" s="107"/>
      <c r="M373" s="108"/>
      <c r="N373" s="164" t="s">
        <v>605</v>
      </c>
    </row>
    <row r="374" spans="1:101" ht="15" x14ac:dyDescent="0.2">
      <c r="A374" s="144">
        <f t="shared" si="91"/>
        <v>335</v>
      </c>
      <c r="B374" s="144"/>
      <c r="C374" s="112"/>
      <c r="D374" s="166" t="s">
        <v>267</v>
      </c>
      <c r="E374" s="110">
        <v>99</v>
      </c>
      <c r="F374" s="110"/>
      <c r="G374" s="107">
        <f t="shared" ref="G374:G379" si="112">H373+1</f>
        <v>10</v>
      </c>
      <c r="H374" s="107">
        <f>H373+I374</f>
        <v>12</v>
      </c>
      <c r="I374" s="111">
        <v>3</v>
      </c>
      <c r="J374" s="111" t="s">
        <v>18</v>
      </c>
      <c r="K374" s="124"/>
      <c r="L374" s="107"/>
      <c r="M374" s="108"/>
      <c r="N374" s="108" t="s">
        <v>268</v>
      </c>
    </row>
    <row r="375" spans="1:101" ht="15" x14ac:dyDescent="0.2">
      <c r="A375" s="144">
        <f t="shared" si="91"/>
        <v>336</v>
      </c>
      <c r="B375" s="144"/>
      <c r="C375" s="112"/>
      <c r="D375" s="105" t="s">
        <v>606</v>
      </c>
      <c r="E375" s="124">
        <v>263</v>
      </c>
      <c r="F375" s="124"/>
      <c r="G375" s="107">
        <f t="shared" si="112"/>
        <v>13</v>
      </c>
      <c r="H375" s="107">
        <f>H374+I375</f>
        <v>27</v>
      </c>
      <c r="I375" s="125">
        <v>15</v>
      </c>
      <c r="J375" s="125" t="s">
        <v>18</v>
      </c>
      <c r="K375" s="110"/>
      <c r="L375" s="125">
        <v>2</v>
      </c>
      <c r="M375" s="108"/>
      <c r="N375" s="108"/>
    </row>
    <row r="376" spans="1:101" ht="15" x14ac:dyDescent="0.2">
      <c r="A376" s="144">
        <f t="shared" si="91"/>
        <v>337</v>
      </c>
      <c r="B376" s="144"/>
      <c r="C376" s="112"/>
      <c r="D376" s="105" t="s">
        <v>607</v>
      </c>
      <c r="E376" s="124">
        <v>264</v>
      </c>
      <c r="F376" s="124"/>
      <c r="G376" s="107">
        <f t="shared" si="112"/>
        <v>28</v>
      </c>
      <c r="H376" s="107">
        <f>H375+I376</f>
        <v>42</v>
      </c>
      <c r="I376" s="125">
        <v>15</v>
      </c>
      <c r="J376" s="125" t="s">
        <v>18</v>
      </c>
      <c r="K376" s="110"/>
      <c r="L376" s="125">
        <v>2</v>
      </c>
      <c r="M376" s="108"/>
      <c r="N376" s="108"/>
    </row>
    <row r="377" spans="1:101" ht="15" x14ac:dyDescent="0.2">
      <c r="A377" s="144">
        <f t="shared" si="91"/>
        <v>338</v>
      </c>
      <c r="B377" s="144"/>
      <c r="C377" s="112"/>
      <c r="D377" s="105" t="s">
        <v>608</v>
      </c>
      <c r="E377" s="106">
        <v>265</v>
      </c>
      <c r="F377" s="106"/>
      <c r="G377" s="107">
        <f t="shared" si="112"/>
        <v>43</v>
      </c>
      <c r="H377" s="107">
        <f>H376+I377</f>
        <v>57</v>
      </c>
      <c r="I377" s="125">
        <v>15</v>
      </c>
      <c r="J377" s="125" t="s">
        <v>18</v>
      </c>
      <c r="K377" s="110"/>
      <c r="L377" s="125">
        <v>2</v>
      </c>
      <c r="M377" s="108"/>
      <c r="N377" s="108"/>
    </row>
    <row r="378" spans="1:101" ht="15" x14ac:dyDescent="0.2">
      <c r="A378" s="144">
        <f t="shared" si="91"/>
        <v>339</v>
      </c>
      <c r="B378" s="144"/>
      <c r="C378" s="112"/>
      <c r="D378" s="105" t="s">
        <v>609</v>
      </c>
      <c r="E378" s="106">
        <v>266</v>
      </c>
      <c r="F378" s="106"/>
      <c r="G378" s="107">
        <f t="shared" si="112"/>
        <v>58</v>
      </c>
      <c r="H378" s="107">
        <f>H377+I378</f>
        <v>72</v>
      </c>
      <c r="I378" s="125">
        <v>15</v>
      </c>
      <c r="J378" s="125" t="s">
        <v>18</v>
      </c>
      <c r="K378" s="110"/>
      <c r="L378" s="125">
        <v>2</v>
      </c>
      <c r="M378" s="108"/>
      <c r="N378" s="108"/>
    </row>
    <row r="379" spans="1:101" ht="15" x14ac:dyDescent="0.2">
      <c r="A379" s="288">
        <f t="shared" si="91"/>
        <v>340</v>
      </c>
      <c r="B379" s="292"/>
      <c r="C379" s="293"/>
      <c r="D379" s="294" t="s">
        <v>28</v>
      </c>
      <c r="E379" s="289" t="s">
        <v>14</v>
      </c>
      <c r="F379" s="289"/>
      <c r="G379" s="290">
        <f t="shared" si="112"/>
        <v>73</v>
      </c>
      <c r="H379" s="290">
        <v>600</v>
      </c>
      <c r="I379" s="290">
        <f>H379-H378</f>
        <v>528</v>
      </c>
      <c r="J379" s="290" t="s">
        <v>15</v>
      </c>
      <c r="K379" s="289"/>
      <c r="L379" s="290"/>
      <c r="M379" s="291"/>
      <c r="N379" s="295" t="s">
        <v>29</v>
      </c>
    </row>
    <row r="380" spans="1:101" ht="14.45" customHeight="1" x14ac:dyDescent="0.2">
      <c r="A380" s="324"/>
      <c r="B380" s="325"/>
      <c r="C380" s="325"/>
      <c r="D380" s="325"/>
      <c r="E380" s="325"/>
      <c r="F380" s="325"/>
      <c r="G380" s="325"/>
      <c r="H380" s="325"/>
      <c r="I380" s="325"/>
      <c r="J380" s="325"/>
      <c r="K380" s="325"/>
      <c r="L380" s="325"/>
      <c r="M380" s="325"/>
      <c r="N380" s="326"/>
    </row>
    <row r="381" spans="1:101" x14ac:dyDescent="0.2">
      <c r="A381" s="144">
        <f>A379+1</f>
        <v>341</v>
      </c>
      <c r="B381" s="144"/>
      <c r="C381" s="163" t="s">
        <v>610</v>
      </c>
      <c r="D381" s="164"/>
      <c r="E381" s="106" t="s">
        <v>14</v>
      </c>
      <c r="F381" s="106"/>
      <c r="G381" s="107">
        <f>$H$16+1</f>
        <v>7</v>
      </c>
      <c r="H381" s="107">
        <f>I381+$H$16</f>
        <v>9</v>
      </c>
      <c r="I381" s="107">
        <v>3</v>
      </c>
      <c r="J381" s="107" t="s">
        <v>18</v>
      </c>
      <c r="K381" s="106"/>
      <c r="L381" s="107"/>
      <c r="M381" s="108"/>
      <c r="N381" s="164" t="s">
        <v>611</v>
      </c>
    </row>
    <row r="382" spans="1:101" ht="15" x14ac:dyDescent="0.2">
      <c r="A382" s="144">
        <f t="shared" si="91"/>
        <v>342</v>
      </c>
      <c r="B382" s="144"/>
      <c r="C382" s="112"/>
      <c r="D382" s="166" t="s">
        <v>267</v>
      </c>
      <c r="E382" s="110">
        <v>99</v>
      </c>
      <c r="F382" s="110"/>
      <c r="G382" s="107">
        <f t="shared" ref="G382:G389" si="113">H381+1</f>
        <v>10</v>
      </c>
      <c r="H382" s="107">
        <f t="shared" ref="H382:H388" si="114">H381+I382</f>
        <v>12</v>
      </c>
      <c r="I382" s="111">
        <v>3</v>
      </c>
      <c r="J382" s="111" t="s">
        <v>18</v>
      </c>
      <c r="K382" s="124"/>
      <c r="L382" s="107"/>
      <c r="M382" s="108"/>
      <c r="N382" s="108" t="s">
        <v>268</v>
      </c>
    </row>
    <row r="383" spans="1:101" ht="135" customHeight="1" x14ac:dyDescent="0.2">
      <c r="A383" s="144">
        <f t="shared" si="91"/>
        <v>343</v>
      </c>
      <c r="B383" s="144"/>
      <c r="C383" s="112"/>
      <c r="D383" s="105" t="s">
        <v>612</v>
      </c>
      <c r="E383" s="106" t="s">
        <v>613</v>
      </c>
      <c r="F383" s="106"/>
      <c r="G383" s="107">
        <f t="shared" si="113"/>
        <v>13</v>
      </c>
      <c r="H383" s="107">
        <f t="shared" si="114"/>
        <v>14</v>
      </c>
      <c r="I383" s="125">
        <v>2</v>
      </c>
      <c r="J383" s="125" t="s">
        <v>18</v>
      </c>
      <c r="K383" s="110"/>
      <c r="L383" s="125"/>
      <c r="M383" s="108"/>
      <c r="N383" s="108" t="s">
        <v>614</v>
      </c>
    </row>
    <row r="384" spans="1:101" ht="25.5" x14ac:dyDescent="0.2">
      <c r="A384" s="144">
        <f t="shared" si="91"/>
        <v>344</v>
      </c>
      <c r="B384" s="144"/>
      <c r="C384" s="112"/>
      <c r="D384" s="105" t="s">
        <v>615</v>
      </c>
      <c r="E384" s="106" t="s">
        <v>616</v>
      </c>
      <c r="F384" s="106"/>
      <c r="G384" s="107">
        <f t="shared" si="113"/>
        <v>15</v>
      </c>
      <c r="H384" s="107">
        <f t="shared" si="114"/>
        <v>29</v>
      </c>
      <c r="I384" s="125">
        <v>15</v>
      </c>
      <c r="J384" s="125" t="s">
        <v>18</v>
      </c>
      <c r="K384" s="110"/>
      <c r="L384" s="125">
        <v>2</v>
      </c>
      <c r="M384" s="108"/>
      <c r="N384" s="108"/>
    </row>
    <row r="385" spans="1:14" ht="25.5" x14ac:dyDescent="0.2">
      <c r="A385" s="144">
        <f t="shared" si="91"/>
        <v>345</v>
      </c>
      <c r="B385" s="144"/>
      <c r="C385" s="112"/>
      <c r="D385" s="105" t="s">
        <v>617</v>
      </c>
      <c r="E385" s="106" t="s">
        <v>618</v>
      </c>
      <c r="F385" s="106"/>
      <c r="G385" s="107">
        <f t="shared" si="113"/>
        <v>30</v>
      </c>
      <c r="H385" s="107">
        <f t="shared" si="114"/>
        <v>34</v>
      </c>
      <c r="I385" s="125">
        <v>5</v>
      </c>
      <c r="J385" s="125" t="s">
        <v>18</v>
      </c>
      <c r="K385" s="110"/>
      <c r="L385" s="110" t="s">
        <v>490</v>
      </c>
      <c r="M385" s="108"/>
      <c r="N385" s="108"/>
    </row>
    <row r="386" spans="1:14" ht="25.5" x14ac:dyDescent="0.2">
      <c r="A386" s="144">
        <f t="shared" si="91"/>
        <v>346</v>
      </c>
      <c r="B386" s="144"/>
      <c r="C386" s="112"/>
      <c r="D386" s="105" t="s">
        <v>619</v>
      </c>
      <c r="E386" s="106" t="s">
        <v>620</v>
      </c>
      <c r="F386" s="106"/>
      <c r="G386" s="107">
        <f t="shared" si="113"/>
        <v>35</v>
      </c>
      <c r="H386" s="107">
        <f t="shared" si="114"/>
        <v>50</v>
      </c>
      <c r="I386" s="125">
        <v>16</v>
      </c>
      <c r="J386" s="125" t="s">
        <v>18</v>
      </c>
      <c r="K386" s="110"/>
      <c r="L386" s="110" t="s">
        <v>283</v>
      </c>
      <c r="M386" s="108"/>
      <c r="N386" s="108"/>
    </row>
    <row r="387" spans="1:14" ht="25.5" x14ac:dyDescent="0.2">
      <c r="A387" s="144">
        <f t="shared" si="91"/>
        <v>347</v>
      </c>
      <c r="B387" s="144"/>
      <c r="C387" s="112"/>
      <c r="D387" s="105" t="s">
        <v>621</v>
      </c>
      <c r="E387" s="187" t="s">
        <v>622</v>
      </c>
      <c r="F387" s="187"/>
      <c r="G387" s="107">
        <f t="shared" si="113"/>
        <v>51</v>
      </c>
      <c r="H387" s="107">
        <f t="shared" si="114"/>
        <v>65</v>
      </c>
      <c r="I387" s="125">
        <v>15</v>
      </c>
      <c r="J387" s="125" t="s">
        <v>18</v>
      </c>
      <c r="K387" s="110"/>
      <c r="L387" s="110" t="s">
        <v>283</v>
      </c>
      <c r="M387" s="108"/>
      <c r="N387" s="108"/>
    </row>
    <row r="388" spans="1:14" ht="38.25" x14ac:dyDescent="0.2">
      <c r="A388" s="144">
        <f t="shared" si="91"/>
        <v>348</v>
      </c>
      <c r="B388" s="144"/>
      <c r="C388" s="112"/>
      <c r="D388" s="105" t="s">
        <v>623</v>
      </c>
      <c r="E388" s="106" t="s">
        <v>624</v>
      </c>
      <c r="F388" s="106"/>
      <c r="G388" s="107">
        <f t="shared" si="113"/>
        <v>66</v>
      </c>
      <c r="H388" s="107">
        <f t="shared" si="114"/>
        <v>80</v>
      </c>
      <c r="I388" s="125">
        <v>15</v>
      </c>
      <c r="J388" s="125" t="s">
        <v>18</v>
      </c>
      <c r="K388" s="110"/>
      <c r="L388" s="125">
        <v>2</v>
      </c>
      <c r="M388" s="108"/>
      <c r="N388" s="108"/>
    </row>
    <row r="389" spans="1:14" ht="15" x14ac:dyDescent="0.2">
      <c r="A389" s="288">
        <f t="shared" si="91"/>
        <v>349</v>
      </c>
      <c r="B389" s="292"/>
      <c r="C389" s="293"/>
      <c r="D389" s="294" t="s">
        <v>28</v>
      </c>
      <c r="E389" s="289" t="s">
        <v>14</v>
      </c>
      <c r="F389" s="289"/>
      <c r="G389" s="290">
        <f t="shared" si="113"/>
        <v>81</v>
      </c>
      <c r="H389" s="290">
        <v>600</v>
      </c>
      <c r="I389" s="290">
        <f>H389-H388</f>
        <v>520</v>
      </c>
      <c r="J389" s="290" t="s">
        <v>15</v>
      </c>
      <c r="K389" s="289"/>
      <c r="L389" s="290"/>
      <c r="M389" s="291"/>
      <c r="N389" s="295" t="s">
        <v>29</v>
      </c>
    </row>
    <row r="390" spans="1:14" ht="14.45" customHeight="1" x14ac:dyDescent="0.2">
      <c r="A390" s="324"/>
      <c r="B390" s="325"/>
      <c r="C390" s="325"/>
      <c r="D390" s="325"/>
      <c r="E390" s="325"/>
      <c r="F390" s="325"/>
      <c r="G390" s="325"/>
      <c r="H390" s="325"/>
      <c r="I390" s="325"/>
      <c r="J390" s="325"/>
      <c r="K390" s="325"/>
      <c r="L390" s="325"/>
      <c r="M390" s="325"/>
      <c r="N390" s="326"/>
    </row>
    <row r="391" spans="1:14" x14ac:dyDescent="0.2">
      <c r="A391" s="144">
        <f>A389+1</f>
        <v>350</v>
      </c>
      <c r="B391" s="144"/>
      <c r="C391" s="163" t="s">
        <v>625</v>
      </c>
      <c r="D391" s="164"/>
      <c r="E391" s="106" t="s">
        <v>14</v>
      </c>
      <c r="F391" s="106"/>
      <c r="G391" s="107">
        <f>$H$16+1</f>
        <v>7</v>
      </c>
      <c r="H391" s="107">
        <f>I391+$H$16</f>
        <v>9</v>
      </c>
      <c r="I391" s="107">
        <v>3</v>
      </c>
      <c r="J391" s="107" t="s">
        <v>18</v>
      </c>
      <c r="K391" s="106"/>
      <c r="L391" s="107"/>
      <c r="M391" s="108"/>
      <c r="N391" s="164" t="s">
        <v>626</v>
      </c>
    </row>
    <row r="392" spans="1:14" ht="15" x14ac:dyDescent="0.2">
      <c r="A392" s="144">
        <f t="shared" ref="A392:A459" si="115">A391+1</f>
        <v>351</v>
      </c>
      <c r="B392" s="144"/>
      <c r="C392" s="112"/>
      <c r="D392" s="166" t="s">
        <v>267</v>
      </c>
      <c r="E392" s="110">
        <v>99</v>
      </c>
      <c r="F392" s="110"/>
      <c r="G392" s="107">
        <f t="shared" ref="G392:G397" si="116">H391+1</f>
        <v>10</v>
      </c>
      <c r="H392" s="107">
        <f t="shared" ref="H392:H397" si="117">H391+I392</f>
        <v>12</v>
      </c>
      <c r="I392" s="111">
        <v>3</v>
      </c>
      <c r="J392" s="111" t="s">
        <v>18</v>
      </c>
      <c r="K392" s="124"/>
      <c r="L392" s="107"/>
      <c r="M392" s="108"/>
      <c r="N392" s="108" t="s">
        <v>268</v>
      </c>
    </row>
    <row r="393" spans="1:14" ht="15" x14ac:dyDescent="0.2">
      <c r="A393" s="144">
        <f t="shared" si="115"/>
        <v>352</v>
      </c>
      <c r="B393" s="144"/>
      <c r="C393" s="112"/>
      <c r="D393" s="105" t="s">
        <v>615</v>
      </c>
      <c r="E393" s="124">
        <v>288</v>
      </c>
      <c r="F393" s="124"/>
      <c r="G393" s="107">
        <f t="shared" si="116"/>
        <v>13</v>
      </c>
      <c r="H393" s="107">
        <f t="shared" si="117"/>
        <v>27</v>
      </c>
      <c r="I393" s="125">
        <v>15</v>
      </c>
      <c r="J393" s="125" t="s">
        <v>18</v>
      </c>
      <c r="K393" s="110"/>
      <c r="L393" s="125">
        <v>2</v>
      </c>
      <c r="M393" s="108"/>
      <c r="N393" s="108"/>
    </row>
    <row r="394" spans="1:14" ht="15" x14ac:dyDescent="0.2">
      <c r="A394" s="144">
        <f t="shared" si="115"/>
        <v>353</v>
      </c>
      <c r="B394" s="144"/>
      <c r="C394" s="112"/>
      <c r="D394" s="105" t="s">
        <v>617</v>
      </c>
      <c r="E394" s="106">
        <v>289</v>
      </c>
      <c r="F394" s="106"/>
      <c r="G394" s="107">
        <f t="shared" si="116"/>
        <v>28</v>
      </c>
      <c r="H394" s="107">
        <f t="shared" si="117"/>
        <v>32</v>
      </c>
      <c r="I394" s="125">
        <v>5</v>
      </c>
      <c r="J394" s="125" t="s">
        <v>18</v>
      </c>
      <c r="K394" s="110"/>
      <c r="L394" s="110" t="s">
        <v>490</v>
      </c>
      <c r="M394" s="108"/>
      <c r="N394" s="108"/>
    </row>
    <row r="395" spans="1:14" ht="15" x14ac:dyDescent="0.2">
      <c r="A395" s="144">
        <f t="shared" si="115"/>
        <v>354</v>
      </c>
      <c r="B395" s="144"/>
      <c r="C395" s="112"/>
      <c r="D395" s="105" t="s">
        <v>619</v>
      </c>
      <c r="E395" s="106">
        <v>290</v>
      </c>
      <c r="F395" s="106"/>
      <c r="G395" s="107">
        <f t="shared" si="116"/>
        <v>33</v>
      </c>
      <c r="H395" s="107">
        <f t="shared" si="117"/>
        <v>48</v>
      </c>
      <c r="I395" s="125">
        <v>16</v>
      </c>
      <c r="J395" s="125" t="s">
        <v>18</v>
      </c>
      <c r="K395" s="110"/>
      <c r="L395" s="110" t="s">
        <v>283</v>
      </c>
      <c r="M395" s="108"/>
      <c r="N395" s="108"/>
    </row>
    <row r="396" spans="1:14" ht="15" x14ac:dyDescent="0.2">
      <c r="A396" s="144">
        <f t="shared" si="115"/>
        <v>355</v>
      </c>
      <c r="B396" s="144"/>
      <c r="C396" s="112"/>
      <c r="D396" s="105" t="s">
        <v>621</v>
      </c>
      <c r="E396" s="106">
        <v>291</v>
      </c>
      <c r="F396" s="106"/>
      <c r="G396" s="107">
        <f t="shared" si="116"/>
        <v>49</v>
      </c>
      <c r="H396" s="107">
        <f t="shared" si="117"/>
        <v>63</v>
      </c>
      <c r="I396" s="125">
        <v>15</v>
      </c>
      <c r="J396" s="125" t="s">
        <v>18</v>
      </c>
      <c r="K396" s="110"/>
      <c r="L396" s="110" t="s">
        <v>283</v>
      </c>
      <c r="M396" s="108"/>
      <c r="N396" s="108"/>
    </row>
    <row r="397" spans="1:14" ht="15" x14ac:dyDescent="0.2">
      <c r="A397" s="144">
        <f t="shared" si="115"/>
        <v>356</v>
      </c>
      <c r="B397" s="144"/>
      <c r="C397" s="112"/>
      <c r="D397" s="105" t="s">
        <v>623</v>
      </c>
      <c r="E397" s="106">
        <v>292</v>
      </c>
      <c r="F397" s="106"/>
      <c r="G397" s="107">
        <f t="shared" si="116"/>
        <v>64</v>
      </c>
      <c r="H397" s="107">
        <f t="shared" si="117"/>
        <v>78</v>
      </c>
      <c r="I397" s="125">
        <v>15</v>
      </c>
      <c r="J397" s="125" t="s">
        <v>18</v>
      </c>
      <c r="K397" s="110"/>
      <c r="L397" s="110" t="s">
        <v>469</v>
      </c>
      <c r="M397" s="108"/>
      <c r="N397" s="108"/>
    </row>
    <row r="398" spans="1:14" ht="38.25" x14ac:dyDescent="0.2">
      <c r="A398" s="144">
        <f t="shared" si="115"/>
        <v>357</v>
      </c>
      <c r="B398" s="144"/>
      <c r="C398" s="49"/>
      <c r="D398" s="161" t="s">
        <v>627</v>
      </c>
      <c r="E398" s="145" t="s">
        <v>628</v>
      </c>
      <c r="F398" s="145"/>
      <c r="G398" s="146">
        <f t="shared" ref="G398:G399" si="118">H397+1</f>
        <v>79</v>
      </c>
      <c r="H398" s="146">
        <f t="shared" ref="H398:H399" si="119">H397+I398</f>
        <v>79</v>
      </c>
      <c r="I398" s="154">
        <v>1</v>
      </c>
      <c r="J398" s="154" t="s">
        <v>18</v>
      </c>
      <c r="K398" s="153"/>
      <c r="L398" s="153"/>
      <c r="M398" s="48"/>
      <c r="N398" s="48" t="s">
        <v>629</v>
      </c>
    </row>
    <row r="399" spans="1:14" ht="15" x14ac:dyDescent="0.2">
      <c r="A399" s="288">
        <f t="shared" si="115"/>
        <v>358</v>
      </c>
      <c r="B399" s="292"/>
      <c r="C399" s="293"/>
      <c r="D399" s="294" t="s">
        <v>28</v>
      </c>
      <c r="E399" s="289" t="s">
        <v>14</v>
      </c>
      <c r="F399" s="289"/>
      <c r="G399" s="290">
        <f t="shared" si="118"/>
        <v>80</v>
      </c>
      <c r="H399" s="290">
        <f t="shared" si="119"/>
        <v>600</v>
      </c>
      <c r="I399" s="290">
        <v>521</v>
      </c>
      <c r="J399" s="290" t="s">
        <v>15</v>
      </c>
      <c r="K399" s="289"/>
      <c r="L399" s="290"/>
      <c r="M399" s="291"/>
      <c r="N399" s="295" t="s">
        <v>29</v>
      </c>
    </row>
    <row r="400" spans="1:14" ht="14.45" customHeight="1" x14ac:dyDescent="0.2">
      <c r="A400" s="324"/>
      <c r="B400" s="325"/>
      <c r="C400" s="325"/>
      <c r="D400" s="325"/>
      <c r="E400" s="325"/>
      <c r="F400" s="325"/>
      <c r="G400" s="325"/>
      <c r="H400" s="325"/>
      <c r="I400" s="325"/>
      <c r="J400" s="325"/>
      <c r="K400" s="325"/>
      <c r="L400" s="325"/>
      <c r="M400" s="325"/>
      <c r="N400" s="326"/>
    </row>
    <row r="401" spans="1:14" x14ac:dyDescent="0.2">
      <c r="A401" s="144">
        <f>A399+1</f>
        <v>359</v>
      </c>
      <c r="B401" s="144"/>
      <c r="C401" s="163" t="s">
        <v>630</v>
      </c>
      <c r="D401" s="164"/>
      <c r="E401" s="106" t="s">
        <v>14</v>
      </c>
      <c r="F401" s="106"/>
      <c r="G401" s="107">
        <f>$H$16+1</f>
        <v>7</v>
      </c>
      <c r="H401" s="107">
        <f>I401+$H$16</f>
        <v>9</v>
      </c>
      <c r="I401" s="107">
        <v>3</v>
      </c>
      <c r="J401" s="107" t="s">
        <v>18</v>
      </c>
      <c r="K401" s="106"/>
      <c r="L401" s="107"/>
      <c r="M401" s="108"/>
      <c r="N401" s="164" t="s">
        <v>631</v>
      </c>
    </row>
    <row r="402" spans="1:14" ht="15" x14ac:dyDescent="0.2">
      <c r="A402" s="144">
        <f t="shared" si="115"/>
        <v>360</v>
      </c>
      <c r="B402" s="144"/>
      <c r="C402" s="112"/>
      <c r="D402" s="166" t="s">
        <v>267</v>
      </c>
      <c r="E402" s="110">
        <v>99</v>
      </c>
      <c r="F402" s="110"/>
      <c r="G402" s="107">
        <f t="shared" ref="G402:G407" si="120">H401+1</f>
        <v>10</v>
      </c>
      <c r="H402" s="107">
        <f t="shared" ref="H402:H407" si="121">H401+I402</f>
        <v>12</v>
      </c>
      <c r="I402" s="111">
        <v>3</v>
      </c>
      <c r="J402" s="111" t="s">
        <v>18</v>
      </c>
      <c r="K402" s="124"/>
      <c r="L402" s="107"/>
      <c r="M402" s="108"/>
      <c r="N402" s="108" t="s">
        <v>268</v>
      </c>
    </row>
    <row r="403" spans="1:14" ht="137.25" customHeight="1" x14ac:dyDescent="0.2">
      <c r="A403" s="144">
        <f t="shared" si="115"/>
        <v>361</v>
      </c>
      <c r="B403" s="144"/>
      <c r="C403" s="112"/>
      <c r="D403" s="105" t="s">
        <v>632</v>
      </c>
      <c r="E403" s="106" t="s">
        <v>633</v>
      </c>
      <c r="F403" s="106"/>
      <c r="G403" s="107">
        <f t="shared" si="120"/>
        <v>13</v>
      </c>
      <c r="H403" s="107">
        <f t="shared" si="121"/>
        <v>14</v>
      </c>
      <c r="I403" s="125">
        <v>2</v>
      </c>
      <c r="J403" s="125" t="s">
        <v>18</v>
      </c>
      <c r="K403" s="110"/>
      <c r="L403" s="125"/>
      <c r="M403" s="108"/>
      <c r="N403" s="108" t="s">
        <v>634</v>
      </c>
    </row>
    <row r="404" spans="1:14" ht="25.5" x14ac:dyDescent="0.2">
      <c r="A404" s="144">
        <f t="shared" si="115"/>
        <v>362</v>
      </c>
      <c r="B404" s="144"/>
      <c r="C404" s="112"/>
      <c r="D404" s="105" t="s">
        <v>635</v>
      </c>
      <c r="E404" s="106" t="s">
        <v>636</v>
      </c>
      <c r="F404" s="106"/>
      <c r="G404" s="107">
        <f t="shared" si="120"/>
        <v>15</v>
      </c>
      <c r="H404" s="107">
        <f t="shared" si="121"/>
        <v>29</v>
      </c>
      <c r="I404" s="125">
        <v>15</v>
      </c>
      <c r="J404" s="125" t="s">
        <v>18</v>
      </c>
      <c r="K404" s="110"/>
      <c r="L404" s="125">
        <v>2</v>
      </c>
      <c r="M404" s="108"/>
      <c r="N404" s="108"/>
    </row>
    <row r="405" spans="1:14" ht="25.5" x14ac:dyDescent="0.2">
      <c r="A405" s="144">
        <f t="shared" si="115"/>
        <v>363</v>
      </c>
      <c r="B405" s="144"/>
      <c r="C405" s="112"/>
      <c r="D405" s="105" t="s">
        <v>637</v>
      </c>
      <c r="E405" s="106" t="s">
        <v>638</v>
      </c>
      <c r="F405" s="106"/>
      <c r="G405" s="107">
        <f t="shared" si="120"/>
        <v>30</v>
      </c>
      <c r="H405" s="107">
        <f t="shared" si="121"/>
        <v>34</v>
      </c>
      <c r="I405" s="125">
        <v>5</v>
      </c>
      <c r="J405" s="125" t="s">
        <v>18</v>
      </c>
      <c r="K405" s="110"/>
      <c r="L405" s="110" t="s">
        <v>490</v>
      </c>
      <c r="M405" s="108"/>
      <c r="N405" s="108"/>
    </row>
    <row r="406" spans="1:14" ht="25.5" x14ac:dyDescent="0.2">
      <c r="A406" s="144">
        <f t="shared" si="115"/>
        <v>364</v>
      </c>
      <c r="B406" s="144"/>
      <c r="C406" s="112"/>
      <c r="D406" s="105" t="s">
        <v>639</v>
      </c>
      <c r="E406" s="106" t="s">
        <v>640</v>
      </c>
      <c r="F406" s="106"/>
      <c r="G406" s="107">
        <f t="shared" si="120"/>
        <v>35</v>
      </c>
      <c r="H406" s="107">
        <f t="shared" si="121"/>
        <v>49</v>
      </c>
      <c r="I406" s="125">
        <v>15</v>
      </c>
      <c r="J406" s="125" t="s">
        <v>18</v>
      </c>
      <c r="K406" s="110"/>
      <c r="L406" s="110" t="s">
        <v>283</v>
      </c>
      <c r="M406" s="108"/>
      <c r="N406" s="108"/>
    </row>
    <row r="407" spans="1:14" ht="25.5" x14ac:dyDescent="0.2">
      <c r="A407" s="144">
        <f t="shared" si="115"/>
        <v>365</v>
      </c>
      <c r="B407" s="144"/>
      <c r="C407" s="112"/>
      <c r="D407" s="105" t="s">
        <v>619</v>
      </c>
      <c r="E407" s="106" t="s">
        <v>641</v>
      </c>
      <c r="F407" s="106"/>
      <c r="G407" s="107">
        <f t="shared" si="120"/>
        <v>50</v>
      </c>
      <c r="H407" s="107">
        <f t="shared" si="121"/>
        <v>65</v>
      </c>
      <c r="I407" s="125">
        <v>16</v>
      </c>
      <c r="J407" s="125" t="s">
        <v>18</v>
      </c>
      <c r="K407" s="110"/>
      <c r="L407" s="125">
        <v>4</v>
      </c>
      <c r="M407" s="108"/>
      <c r="N407" s="108"/>
    </row>
    <row r="408" spans="1:14" ht="38.25" x14ac:dyDescent="0.2">
      <c r="A408" s="144">
        <f t="shared" si="115"/>
        <v>366</v>
      </c>
      <c r="B408" s="144"/>
      <c r="C408" s="112"/>
      <c r="D408" s="105" t="s">
        <v>642</v>
      </c>
      <c r="E408" s="106" t="s">
        <v>643</v>
      </c>
      <c r="F408" s="106"/>
      <c r="G408" s="107">
        <f>H407+1</f>
        <v>66</v>
      </c>
      <c r="H408" s="107">
        <f>H407+I408</f>
        <v>80</v>
      </c>
      <c r="I408" s="125">
        <v>15</v>
      </c>
      <c r="J408" s="125" t="s">
        <v>18</v>
      </c>
      <c r="K408" s="110"/>
      <c r="L408" s="125">
        <v>2</v>
      </c>
      <c r="M408" s="108"/>
      <c r="N408" s="108"/>
    </row>
    <row r="409" spans="1:14" ht="15" x14ac:dyDescent="0.2">
      <c r="A409" s="288">
        <f t="shared" si="115"/>
        <v>367</v>
      </c>
      <c r="B409" s="292"/>
      <c r="C409" s="293"/>
      <c r="D409" s="294" t="s">
        <v>28</v>
      </c>
      <c r="E409" s="289" t="s">
        <v>14</v>
      </c>
      <c r="F409" s="289"/>
      <c r="G409" s="290">
        <f>H408+1</f>
        <v>81</v>
      </c>
      <c r="H409" s="290">
        <v>600</v>
      </c>
      <c r="I409" s="290">
        <f>H409-H408</f>
        <v>520</v>
      </c>
      <c r="J409" s="290" t="s">
        <v>15</v>
      </c>
      <c r="K409" s="289"/>
      <c r="L409" s="290"/>
      <c r="M409" s="291"/>
      <c r="N409" s="295" t="s">
        <v>29</v>
      </c>
    </row>
    <row r="410" spans="1:14" ht="14.45" customHeight="1" x14ac:dyDescent="0.2">
      <c r="A410" s="324"/>
      <c r="B410" s="325"/>
      <c r="C410" s="325"/>
      <c r="D410" s="325"/>
      <c r="E410" s="325"/>
      <c r="F410" s="325"/>
      <c r="G410" s="325"/>
      <c r="H410" s="325"/>
      <c r="I410" s="325"/>
      <c r="J410" s="325"/>
      <c r="K410" s="325"/>
      <c r="L410" s="325"/>
      <c r="M410" s="325"/>
      <c r="N410" s="326"/>
    </row>
    <row r="411" spans="1:14" x14ac:dyDescent="0.2">
      <c r="A411" s="144">
        <f>A409+1</f>
        <v>368</v>
      </c>
      <c r="B411" s="144"/>
      <c r="C411" s="163" t="s">
        <v>644</v>
      </c>
      <c r="D411" s="164"/>
      <c r="E411" s="106" t="s">
        <v>14</v>
      </c>
      <c r="F411" s="106"/>
      <c r="G411" s="107">
        <f>$H$16+1</f>
        <v>7</v>
      </c>
      <c r="H411" s="107">
        <f>I411+$H$16</f>
        <v>9</v>
      </c>
      <c r="I411" s="107">
        <v>3</v>
      </c>
      <c r="J411" s="107" t="s">
        <v>18</v>
      </c>
      <c r="K411" s="106"/>
      <c r="L411" s="107"/>
      <c r="M411" s="108"/>
      <c r="N411" s="164" t="s">
        <v>645</v>
      </c>
    </row>
    <row r="412" spans="1:14" ht="15" x14ac:dyDescent="0.2">
      <c r="A412" s="144">
        <f t="shared" si="115"/>
        <v>369</v>
      </c>
      <c r="B412" s="144"/>
      <c r="C412" s="112"/>
      <c r="D412" s="166" t="s">
        <v>267</v>
      </c>
      <c r="E412" s="110">
        <v>99</v>
      </c>
      <c r="F412" s="110"/>
      <c r="G412" s="107">
        <f t="shared" ref="G412:G419" si="122">H411+1</f>
        <v>10</v>
      </c>
      <c r="H412" s="107">
        <f t="shared" ref="H412:H419" si="123">H411+I412</f>
        <v>12</v>
      </c>
      <c r="I412" s="111">
        <v>3</v>
      </c>
      <c r="J412" s="111" t="s">
        <v>18</v>
      </c>
      <c r="K412" s="124"/>
      <c r="L412" s="107"/>
      <c r="M412" s="108"/>
      <c r="N412" s="108" t="s">
        <v>268</v>
      </c>
    </row>
    <row r="413" spans="1:14" ht="15" x14ac:dyDescent="0.2">
      <c r="A413" s="144">
        <f t="shared" si="115"/>
        <v>370</v>
      </c>
      <c r="B413" s="144"/>
      <c r="C413" s="112"/>
      <c r="D413" s="105" t="s">
        <v>635</v>
      </c>
      <c r="E413" s="124">
        <v>314</v>
      </c>
      <c r="F413" s="124"/>
      <c r="G413" s="107">
        <f t="shared" si="122"/>
        <v>13</v>
      </c>
      <c r="H413" s="107">
        <f t="shared" si="123"/>
        <v>27</v>
      </c>
      <c r="I413" s="125">
        <v>15</v>
      </c>
      <c r="J413" s="125" t="s">
        <v>18</v>
      </c>
      <c r="K413" s="110"/>
      <c r="L413" s="125">
        <v>2</v>
      </c>
      <c r="M413" s="108"/>
      <c r="N413" s="108"/>
    </row>
    <row r="414" spans="1:14" ht="15" x14ac:dyDescent="0.2">
      <c r="A414" s="144">
        <f t="shared" si="115"/>
        <v>371</v>
      </c>
      <c r="B414" s="144"/>
      <c r="C414" s="112"/>
      <c r="D414" s="105" t="s">
        <v>637</v>
      </c>
      <c r="E414" s="106">
        <v>315</v>
      </c>
      <c r="F414" s="106"/>
      <c r="G414" s="107">
        <f t="shared" si="122"/>
        <v>28</v>
      </c>
      <c r="H414" s="107">
        <f t="shared" si="123"/>
        <v>32</v>
      </c>
      <c r="I414" s="125">
        <v>5</v>
      </c>
      <c r="J414" s="125" t="s">
        <v>18</v>
      </c>
      <c r="K414" s="110"/>
      <c r="L414" s="110" t="s">
        <v>490</v>
      </c>
      <c r="M414" s="108"/>
      <c r="N414" s="108"/>
    </row>
    <row r="415" spans="1:14" ht="15" x14ac:dyDescent="0.2">
      <c r="A415" s="144">
        <f t="shared" si="115"/>
        <v>372</v>
      </c>
      <c r="B415" s="144"/>
      <c r="C415" s="112"/>
      <c r="D415" s="105" t="s">
        <v>619</v>
      </c>
      <c r="E415" s="106">
        <v>316</v>
      </c>
      <c r="F415" s="106"/>
      <c r="G415" s="107">
        <f t="shared" si="122"/>
        <v>33</v>
      </c>
      <c r="H415" s="107">
        <f t="shared" si="123"/>
        <v>48</v>
      </c>
      <c r="I415" s="125">
        <v>16</v>
      </c>
      <c r="J415" s="125" t="s">
        <v>18</v>
      </c>
      <c r="K415" s="110"/>
      <c r="L415" s="110" t="s">
        <v>283</v>
      </c>
      <c r="M415" s="108"/>
      <c r="N415" s="108"/>
    </row>
    <row r="416" spans="1:14" ht="15" x14ac:dyDescent="0.2">
      <c r="A416" s="144">
        <f t="shared" si="115"/>
        <v>373</v>
      </c>
      <c r="B416" s="144"/>
      <c r="C416" s="112"/>
      <c r="D416" s="105" t="s">
        <v>646</v>
      </c>
      <c r="E416" s="106">
        <v>317</v>
      </c>
      <c r="F416" s="106"/>
      <c r="G416" s="107">
        <f t="shared" si="122"/>
        <v>49</v>
      </c>
      <c r="H416" s="107">
        <f t="shared" si="123"/>
        <v>63</v>
      </c>
      <c r="I416" s="125">
        <v>15</v>
      </c>
      <c r="J416" s="125" t="s">
        <v>18</v>
      </c>
      <c r="K416" s="110"/>
      <c r="L416" s="110" t="s">
        <v>283</v>
      </c>
      <c r="M416" s="108"/>
      <c r="N416" s="108"/>
    </row>
    <row r="417" spans="1:14" ht="15" x14ac:dyDescent="0.2">
      <c r="A417" s="144">
        <f t="shared" si="115"/>
        <v>374</v>
      </c>
      <c r="B417" s="144"/>
      <c r="C417" s="112"/>
      <c r="D417" s="105" t="s">
        <v>647</v>
      </c>
      <c r="E417" s="106">
        <v>318</v>
      </c>
      <c r="F417" s="106"/>
      <c r="G417" s="107">
        <f t="shared" si="122"/>
        <v>64</v>
      </c>
      <c r="H417" s="107">
        <f t="shared" si="123"/>
        <v>78</v>
      </c>
      <c r="I417" s="125">
        <v>15</v>
      </c>
      <c r="J417" s="125" t="s">
        <v>18</v>
      </c>
      <c r="K417" s="110"/>
      <c r="L417" s="125">
        <v>2</v>
      </c>
      <c r="M417" s="108"/>
      <c r="N417" s="108"/>
    </row>
    <row r="418" spans="1:14" ht="38.25" x14ac:dyDescent="0.2">
      <c r="A418" s="144">
        <f t="shared" si="115"/>
        <v>375</v>
      </c>
      <c r="B418" s="144"/>
      <c r="C418" s="49"/>
      <c r="D418" s="161" t="s">
        <v>648</v>
      </c>
      <c r="E418" s="145" t="s">
        <v>649</v>
      </c>
      <c r="F418" s="145"/>
      <c r="G418" s="146">
        <f t="shared" si="122"/>
        <v>79</v>
      </c>
      <c r="H418" s="146">
        <f t="shared" si="123"/>
        <v>79</v>
      </c>
      <c r="I418" s="154">
        <v>1</v>
      </c>
      <c r="J418" s="154" t="s">
        <v>18</v>
      </c>
      <c r="K418" s="153"/>
      <c r="L418" s="154"/>
      <c r="M418" s="48"/>
      <c r="N418" s="48" t="s">
        <v>650</v>
      </c>
    </row>
    <row r="419" spans="1:14" ht="15" x14ac:dyDescent="0.2">
      <c r="A419" s="288">
        <f t="shared" si="115"/>
        <v>376</v>
      </c>
      <c r="B419" s="292"/>
      <c r="C419" s="293"/>
      <c r="D419" s="294" t="s">
        <v>28</v>
      </c>
      <c r="E419" s="289" t="s">
        <v>14</v>
      </c>
      <c r="F419" s="289"/>
      <c r="G419" s="290">
        <f t="shared" si="122"/>
        <v>80</v>
      </c>
      <c r="H419" s="290">
        <f t="shared" si="123"/>
        <v>600</v>
      </c>
      <c r="I419" s="290">
        <v>521</v>
      </c>
      <c r="J419" s="290" t="s">
        <v>15</v>
      </c>
      <c r="K419" s="289"/>
      <c r="L419" s="290"/>
      <c r="M419" s="291"/>
      <c r="N419" s="295" t="s">
        <v>29</v>
      </c>
    </row>
    <row r="420" spans="1:14" ht="14.45" customHeight="1" x14ac:dyDescent="0.2">
      <c r="A420" s="324"/>
      <c r="B420" s="325"/>
      <c r="C420" s="325"/>
      <c r="D420" s="325"/>
      <c r="E420" s="325"/>
      <c r="F420" s="325"/>
      <c r="G420" s="325"/>
      <c r="H420" s="325"/>
      <c r="I420" s="325"/>
      <c r="J420" s="325"/>
      <c r="K420" s="325"/>
      <c r="L420" s="325"/>
      <c r="M420" s="325"/>
      <c r="N420" s="326"/>
    </row>
    <row r="421" spans="1:14" x14ac:dyDescent="0.2">
      <c r="A421" s="144">
        <f>A419+1</f>
        <v>377</v>
      </c>
      <c r="B421" s="144"/>
      <c r="C421" s="163" t="s">
        <v>651</v>
      </c>
      <c r="D421" s="164"/>
      <c r="E421" s="106" t="s">
        <v>14</v>
      </c>
      <c r="F421" s="106"/>
      <c r="G421" s="107">
        <f>$H$16+1</f>
        <v>7</v>
      </c>
      <c r="H421" s="107">
        <f>I421+$H$16</f>
        <v>9</v>
      </c>
      <c r="I421" s="107">
        <v>3</v>
      </c>
      <c r="J421" s="107" t="s">
        <v>18</v>
      </c>
      <c r="K421" s="106"/>
      <c r="L421" s="107"/>
      <c r="M421" s="108"/>
      <c r="N421" s="168" t="s">
        <v>652</v>
      </c>
    </row>
    <row r="422" spans="1:14" ht="15" x14ac:dyDescent="0.2">
      <c r="A422" s="144">
        <f t="shared" si="115"/>
        <v>378</v>
      </c>
      <c r="B422" s="144"/>
      <c r="C422" s="112"/>
      <c r="D422" s="166" t="s">
        <v>267</v>
      </c>
      <c r="E422" s="110">
        <v>99</v>
      </c>
      <c r="F422" s="110"/>
      <c r="G422" s="107">
        <f t="shared" ref="G422:G427" si="124">H421+1</f>
        <v>10</v>
      </c>
      <c r="H422" s="107">
        <f t="shared" ref="H422:H427" si="125">H421+I422</f>
        <v>12</v>
      </c>
      <c r="I422" s="111">
        <v>3</v>
      </c>
      <c r="J422" s="111" t="s">
        <v>18</v>
      </c>
      <c r="K422" s="124"/>
      <c r="L422" s="107"/>
      <c r="M422" s="108"/>
      <c r="N422" s="108" t="s">
        <v>268</v>
      </c>
    </row>
    <row r="423" spans="1:14" ht="15" x14ac:dyDescent="0.2">
      <c r="A423" s="144">
        <f t="shared" si="115"/>
        <v>379</v>
      </c>
      <c r="B423" s="144"/>
      <c r="C423" s="112"/>
      <c r="D423" s="105" t="s">
        <v>653</v>
      </c>
      <c r="E423" s="124">
        <v>320</v>
      </c>
      <c r="F423" s="124"/>
      <c r="G423" s="107">
        <f t="shared" si="124"/>
        <v>13</v>
      </c>
      <c r="H423" s="107">
        <f t="shared" si="125"/>
        <v>27</v>
      </c>
      <c r="I423" s="125">
        <v>15</v>
      </c>
      <c r="J423" s="125" t="s">
        <v>18</v>
      </c>
      <c r="K423" s="110"/>
      <c r="L423" s="125">
        <v>2</v>
      </c>
      <c r="M423" s="108"/>
      <c r="N423" s="108"/>
    </row>
    <row r="424" spans="1:14" ht="15" x14ac:dyDescent="0.2">
      <c r="A424" s="144">
        <f t="shared" si="115"/>
        <v>380</v>
      </c>
      <c r="B424" s="144"/>
      <c r="C424" s="112"/>
      <c r="D424" s="105" t="s">
        <v>654</v>
      </c>
      <c r="E424" s="124">
        <v>321</v>
      </c>
      <c r="F424" s="124"/>
      <c r="G424" s="107">
        <f t="shared" si="124"/>
        <v>28</v>
      </c>
      <c r="H424" s="107">
        <f t="shared" si="125"/>
        <v>32</v>
      </c>
      <c r="I424" s="125">
        <v>5</v>
      </c>
      <c r="J424" s="125" t="s">
        <v>18</v>
      </c>
      <c r="K424" s="110"/>
      <c r="L424" s="125">
        <v>2</v>
      </c>
      <c r="M424" s="108"/>
      <c r="N424" s="108"/>
    </row>
    <row r="425" spans="1:14" ht="15" x14ac:dyDescent="0.2">
      <c r="A425" s="144">
        <f t="shared" si="115"/>
        <v>381</v>
      </c>
      <c r="B425" s="144"/>
      <c r="C425" s="112"/>
      <c r="D425" s="105" t="s">
        <v>655</v>
      </c>
      <c r="E425" s="124">
        <v>322</v>
      </c>
      <c r="F425" s="124"/>
      <c r="G425" s="107">
        <f t="shared" si="124"/>
        <v>33</v>
      </c>
      <c r="H425" s="107">
        <f t="shared" si="125"/>
        <v>47</v>
      </c>
      <c r="I425" s="125">
        <v>15</v>
      </c>
      <c r="J425" s="125" t="s">
        <v>18</v>
      </c>
      <c r="K425" s="110"/>
      <c r="L425" s="125">
        <v>2</v>
      </c>
      <c r="M425" s="108"/>
      <c r="N425" s="108"/>
    </row>
    <row r="426" spans="1:14" ht="15" x14ac:dyDescent="0.2">
      <c r="A426" s="144">
        <f t="shared" si="115"/>
        <v>382</v>
      </c>
      <c r="B426" s="144"/>
      <c r="C426" s="112"/>
      <c r="D426" s="105" t="s">
        <v>656</v>
      </c>
      <c r="E426" s="124">
        <v>323</v>
      </c>
      <c r="F426" s="124"/>
      <c r="G426" s="107">
        <f t="shared" si="124"/>
        <v>48</v>
      </c>
      <c r="H426" s="107">
        <f t="shared" si="125"/>
        <v>54</v>
      </c>
      <c r="I426" s="125">
        <v>7</v>
      </c>
      <c r="J426" s="125" t="s">
        <v>18</v>
      </c>
      <c r="K426" s="110"/>
      <c r="L426" s="125"/>
      <c r="M426" s="108"/>
      <c r="N426" s="108"/>
    </row>
    <row r="427" spans="1:14" s="117" customFormat="1" ht="15" x14ac:dyDescent="0.2">
      <c r="A427" s="144">
        <f t="shared" si="115"/>
        <v>383</v>
      </c>
      <c r="B427" s="144"/>
      <c r="C427" s="112"/>
      <c r="D427" s="105" t="s">
        <v>657</v>
      </c>
      <c r="E427" s="124">
        <v>324</v>
      </c>
      <c r="F427" s="124"/>
      <c r="G427" s="107">
        <f t="shared" si="124"/>
        <v>55</v>
      </c>
      <c r="H427" s="107">
        <f t="shared" si="125"/>
        <v>59</v>
      </c>
      <c r="I427" s="125">
        <v>5</v>
      </c>
      <c r="J427" s="125" t="s">
        <v>15</v>
      </c>
      <c r="K427" s="110"/>
      <c r="L427" s="125"/>
      <c r="M427" s="108"/>
      <c r="N427" s="108" t="s">
        <v>658</v>
      </c>
    </row>
    <row r="428" spans="1:14" s="117" customFormat="1" ht="15" x14ac:dyDescent="0.2">
      <c r="A428" s="144">
        <f t="shared" si="115"/>
        <v>384</v>
      </c>
      <c r="B428" s="144"/>
      <c r="C428" s="112"/>
      <c r="D428" s="112" t="s">
        <v>659</v>
      </c>
      <c r="E428" s="106" t="s">
        <v>660</v>
      </c>
      <c r="F428" s="106"/>
      <c r="G428" s="107">
        <v>60</v>
      </c>
      <c r="H428" s="107">
        <v>74</v>
      </c>
      <c r="I428" s="125">
        <v>15</v>
      </c>
      <c r="J428" s="125" t="s">
        <v>18</v>
      </c>
      <c r="K428" s="110"/>
      <c r="L428" s="107">
        <v>2</v>
      </c>
      <c r="M428" s="108"/>
      <c r="N428" s="108"/>
    </row>
    <row r="429" spans="1:14" s="117" customFormat="1" ht="15" x14ac:dyDescent="0.2">
      <c r="A429" s="144">
        <f t="shared" si="115"/>
        <v>385</v>
      </c>
      <c r="B429" s="144"/>
      <c r="C429" s="112"/>
      <c r="D429" s="112" t="s">
        <v>661</v>
      </c>
      <c r="E429" s="106" t="s">
        <v>662</v>
      </c>
      <c r="F429" s="106"/>
      <c r="G429" s="107">
        <v>75</v>
      </c>
      <c r="H429" s="107">
        <v>89</v>
      </c>
      <c r="I429" s="125">
        <v>15</v>
      </c>
      <c r="J429" s="125" t="s">
        <v>18</v>
      </c>
      <c r="K429" s="110"/>
      <c r="L429" s="107">
        <v>2</v>
      </c>
      <c r="M429" s="108"/>
      <c r="N429" s="108" t="s">
        <v>663</v>
      </c>
    </row>
    <row r="430" spans="1:14" s="117" customFormat="1" ht="15" x14ac:dyDescent="0.2">
      <c r="A430" s="144">
        <f t="shared" si="115"/>
        <v>386</v>
      </c>
      <c r="B430" s="144"/>
      <c r="C430" s="112"/>
      <c r="D430" s="112" t="s">
        <v>664</v>
      </c>
      <c r="E430" s="106" t="s">
        <v>665</v>
      </c>
      <c r="F430" s="106"/>
      <c r="G430" s="107">
        <v>90</v>
      </c>
      <c r="H430" s="107">
        <v>104</v>
      </c>
      <c r="I430" s="125">
        <v>15</v>
      </c>
      <c r="J430" s="125" t="s">
        <v>18</v>
      </c>
      <c r="K430" s="110"/>
      <c r="L430" s="107">
        <v>2</v>
      </c>
      <c r="M430" s="108"/>
      <c r="N430" s="108"/>
    </row>
    <row r="431" spans="1:14" s="117" customFormat="1" ht="15" x14ac:dyDescent="0.2">
      <c r="A431" s="144">
        <f t="shared" si="115"/>
        <v>387</v>
      </c>
      <c r="B431" s="144"/>
      <c r="C431" s="112"/>
      <c r="D431" s="112" t="s">
        <v>666</v>
      </c>
      <c r="E431" s="106" t="s">
        <v>667</v>
      </c>
      <c r="F431" s="106"/>
      <c r="G431" s="107">
        <v>105</v>
      </c>
      <c r="H431" s="107">
        <v>119</v>
      </c>
      <c r="I431" s="125">
        <v>15</v>
      </c>
      <c r="J431" s="125" t="s">
        <v>18</v>
      </c>
      <c r="K431" s="110"/>
      <c r="L431" s="107">
        <v>2</v>
      </c>
      <c r="M431" s="108"/>
      <c r="N431" s="108"/>
    </row>
    <row r="432" spans="1:14" s="117" customFormat="1" ht="15" x14ac:dyDescent="0.2">
      <c r="A432" s="144">
        <f t="shared" si="115"/>
        <v>388</v>
      </c>
      <c r="B432" s="144"/>
      <c r="C432" s="112"/>
      <c r="D432" s="112" t="s">
        <v>668</v>
      </c>
      <c r="E432" s="106" t="s">
        <v>669</v>
      </c>
      <c r="F432" s="106"/>
      <c r="G432" s="107">
        <v>120</v>
      </c>
      <c r="H432" s="107">
        <v>134</v>
      </c>
      <c r="I432" s="125">
        <v>15</v>
      </c>
      <c r="J432" s="125" t="s">
        <v>18</v>
      </c>
      <c r="K432" s="110"/>
      <c r="L432" s="107">
        <v>2</v>
      </c>
      <c r="M432" s="108"/>
      <c r="N432" s="108" t="s">
        <v>663</v>
      </c>
    </row>
    <row r="433" spans="1:14" s="117" customFormat="1" ht="89.25" x14ac:dyDescent="0.2">
      <c r="A433" s="144">
        <f t="shared" si="115"/>
        <v>389</v>
      </c>
      <c r="B433" s="144"/>
      <c r="C433" s="112"/>
      <c r="D433" s="112" t="s">
        <v>670</v>
      </c>
      <c r="E433" s="106" t="s">
        <v>671</v>
      </c>
      <c r="F433" s="106"/>
      <c r="G433" s="107">
        <v>135</v>
      </c>
      <c r="H433" s="107">
        <v>136</v>
      </c>
      <c r="I433" s="125">
        <v>2</v>
      </c>
      <c r="J433" s="125" t="s">
        <v>18</v>
      </c>
      <c r="K433" s="110"/>
      <c r="L433" s="107"/>
      <c r="M433" s="108"/>
      <c r="N433" s="108" t="s">
        <v>672</v>
      </c>
    </row>
    <row r="434" spans="1:14" s="117" customFormat="1" ht="15" x14ac:dyDescent="0.2">
      <c r="A434" s="144">
        <f t="shared" si="115"/>
        <v>390</v>
      </c>
      <c r="B434" s="144"/>
      <c r="C434" s="112"/>
      <c r="D434" s="112" t="s">
        <v>673</v>
      </c>
      <c r="E434" s="106" t="s">
        <v>674</v>
      </c>
      <c r="F434" s="106"/>
      <c r="G434" s="107">
        <v>137</v>
      </c>
      <c r="H434" s="107">
        <v>156</v>
      </c>
      <c r="I434" s="125">
        <v>20</v>
      </c>
      <c r="J434" s="125" t="s">
        <v>15</v>
      </c>
      <c r="K434" s="110"/>
      <c r="L434" s="107"/>
      <c r="M434" s="108"/>
      <c r="N434" s="108"/>
    </row>
    <row r="435" spans="1:14" s="117" customFormat="1" ht="15" x14ac:dyDescent="0.2">
      <c r="A435" s="144">
        <f t="shared" si="115"/>
        <v>391</v>
      </c>
      <c r="B435" s="144"/>
      <c r="C435" s="112"/>
      <c r="D435" s="112" t="s">
        <v>675</v>
      </c>
      <c r="E435" s="106" t="s">
        <v>676</v>
      </c>
      <c r="F435" s="106"/>
      <c r="G435" s="107">
        <v>157</v>
      </c>
      <c r="H435" s="107">
        <v>163</v>
      </c>
      <c r="I435" s="125">
        <v>7</v>
      </c>
      <c r="J435" s="125" t="s">
        <v>18</v>
      </c>
      <c r="K435" s="110"/>
      <c r="L435" s="107"/>
      <c r="M435" s="108"/>
      <c r="N435" s="108" t="s">
        <v>677</v>
      </c>
    </row>
    <row r="436" spans="1:14" s="117" customFormat="1" ht="15" x14ac:dyDescent="0.2">
      <c r="A436" s="144">
        <f t="shared" si="115"/>
        <v>392</v>
      </c>
      <c r="B436" s="144"/>
      <c r="C436" s="112"/>
      <c r="D436" s="112" t="s">
        <v>678</v>
      </c>
      <c r="E436" s="106" t="s">
        <v>679</v>
      </c>
      <c r="F436" s="106"/>
      <c r="G436" s="107">
        <v>164</v>
      </c>
      <c r="H436" s="107">
        <v>167</v>
      </c>
      <c r="I436" s="125">
        <v>4</v>
      </c>
      <c r="J436" s="125" t="s">
        <v>18</v>
      </c>
      <c r="K436" s="110"/>
      <c r="L436" s="107"/>
      <c r="M436" s="108"/>
      <c r="N436" s="108" t="s">
        <v>680</v>
      </c>
    </row>
    <row r="437" spans="1:14" s="117" customFormat="1" ht="15" x14ac:dyDescent="0.2">
      <c r="A437" s="144">
        <f t="shared" si="115"/>
        <v>393</v>
      </c>
      <c r="B437" s="144"/>
      <c r="C437" s="112"/>
      <c r="D437" s="112" t="s">
        <v>681</v>
      </c>
      <c r="E437" s="106" t="s">
        <v>682</v>
      </c>
      <c r="F437" s="106"/>
      <c r="G437" s="107">
        <v>168</v>
      </c>
      <c r="H437" s="107">
        <v>197</v>
      </c>
      <c r="I437" s="125">
        <v>30</v>
      </c>
      <c r="J437" s="125" t="s">
        <v>15</v>
      </c>
      <c r="K437" s="110"/>
      <c r="L437" s="107"/>
      <c r="M437" s="108"/>
      <c r="N437" s="108" t="s">
        <v>683</v>
      </c>
    </row>
    <row r="438" spans="1:14" s="117" customFormat="1" ht="25.5" x14ac:dyDescent="0.2">
      <c r="A438" s="144">
        <f t="shared" si="115"/>
        <v>394</v>
      </c>
      <c r="B438" s="144"/>
      <c r="C438" s="112"/>
      <c r="D438" s="112" t="s">
        <v>684</v>
      </c>
      <c r="E438" s="106" t="s">
        <v>685</v>
      </c>
      <c r="F438" s="106"/>
      <c r="G438" s="107">
        <v>198</v>
      </c>
      <c r="H438" s="107">
        <v>198</v>
      </c>
      <c r="I438" s="125">
        <v>1</v>
      </c>
      <c r="J438" s="125" t="s">
        <v>18</v>
      </c>
      <c r="K438" s="110"/>
      <c r="L438" s="107"/>
      <c r="M438" s="108"/>
      <c r="N438" s="108" t="s">
        <v>686</v>
      </c>
    </row>
    <row r="439" spans="1:14" ht="15" x14ac:dyDescent="0.2">
      <c r="A439" s="288">
        <f t="shared" si="115"/>
        <v>395</v>
      </c>
      <c r="B439" s="292"/>
      <c r="C439" s="293"/>
      <c r="D439" s="294" t="s">
        <v>28</v>
      </c>
      <c r="E439" s="289" t="s">
        <v>14</v>
      </c>
      <c r="F439" s="289"/>
      <c r="G439" s="290">
        <v>199</v>
      </c>
      <c r="H439" s="290">
        <v>600</v>
      </c>
      <c r="I439" s="290">
        <f>H439-H438</f>
        <v>402</v>
      </c>
      <c r="J439" s="290" t="s">
        <v>15</v>
      </c>
      <c r="K439" s="289"/>
      <c r="L439" s="290"/>
      <c r="M439" s="291"/>
      <c r="N439" s="295" t="s">
        <v>29</v>
      </c>
    </row>
    <row r="440" spans="1:14" ht="14.45" customHeight="1" x14ac:dyDescent="0.2">
      <c r="A440" s="324"/>
      <c r="B440" s="325"/>
      <c r="C440" s="325"/>
      <c r="D440" s="325"/>
      <c r="E440" s="325"/>
      <c r="F440" s="325"/>
      <c r="G440" s="325"/>
      <c r="H440" s="325"/>
      <c r="I440" s="325"/>
      <c r="J440" s="325"/>
      <c r="K440" s="325"/>
      <c r="L440" s="325"/>
      <c r="M440" s="325"/>
      <c r="N440" s="326"/>
    </row>
    <row r="441" spans="1:14" x14ac:dyDescent="0.2">
      <c r="A441" s="144">
        <f>A439+1</f>
        <v>396</v>
      </c>
      <c r="B441" s="144"/>
      <c r="C441" s="163" t="s">
        <v>687</v>
      </c>
      <c r="D441" s="164"/>
      <c r="E441" s="106" t="s">
        <v>14</v>
      </c>
      <c r="F441" s="106"/>
      <c r="G441" s="107">
        <f>$H$16+1</f>
        <v>7</v>
      </c>
      <c r="H441" s="107">
        <f>$H$16+I441</f>
        <v>9</v>
      </c>
      <c r="I441" s="107">
        <v>3</v>
      </c>
      <c r="J441" s="107" t="s">
        <v>18</v>
      </c>
      <c r="K441" s="106"/>
      <c r="L441" s="107"/>
      <c r="M441" s="108"/>
      <c r="N441" s="168" t="s">
        <v>688</v>
      </c>
    </row>
    <row r="442" spans="1:14" ht="15" x14ac:dyDescent="0.2">
      <c r="A442" s="144">
        <f t="shared" si="115"/>
        <v>397</v>
      </c>
      <c r="B442" s="144"/>
      <c r="C442" s="112"/>
      <c r="D442" s="166" t="s">
        <v>267</v>
      </c>
      <c r="E442" s="110">
        <v>99</v>
      </c>
      <c r="F442" s="110"/>
      <c r="G442" s="107">
        <f>H441+1</f>
        <v>10</v>
      </c>
      <c r="H442" s="107">
        <f>H441+I442</f>
        <v>12</v>
      </c>
      <c r="I442" s="111">
        <v>3</v>
      </c>
      <c r="J442" s="111" t="s">
        <v>18</v>
      </c>
      <c r="K442" s="124"/>
      <c r="L442" s="107"/>
      <c r="M442" s="108"/>
      <c r="N442" s="108" t="s">
        <v>268</v>
      </c>
    </row>
    <row r="443" spans="1:14" ht="15" x14ac:dyDescent="0.2">
      <c r="A443" s="144">
        <f t="shared" si="115"/>
        <v>398</v>
      </c>
      <c r="B443" s="144"/>
      <c r="C443" s="112"/>
      <c r="D443" s="105" t="s">
        <v>689</v>
      </c>
      <c r="E443" s="124">
        <v>325</v>
      </c>
      <c r="F443" s="124"/>
      <c r="G443" s="107">
        <f>H442+1</f>
        <v>13</v>
      </c>
      <c r="H443" s="107">
        <f>H442+I443</f>
        <v>512</v>
      </c>
      <c r="I443" s="125">
        <v>500</v>
      </c>
      <c r="J443" s="125" t="s">
        <v>15</v>
      </c>
      <c r="K443" s="110"/>
      <c r="L443" s="125"/>
      <c r="M443" s="108"/>
      <c r="N443" s="108" t="s">
        <v>690</v>
      </c>
    </row>
    <row r="444" spans="1:14" ht="15" x14ac:dyDescent="0.2">
      <c r="A444" s="288">
        <f t="shared" si="115"/>
        <v>399</v>
      </c>
      <c r="B444" s="292"/>
      <c r="C444" s="293"/>
      <c r="D444" s="294" t="s">
        <v>28</v>
      </c>
      <c r="E444" s="289" t="s">
        <v>14</v>
      </c>
      <c r="F444" s="289"/>
      <c r="G444" s="290">
        <f>H443+1</f>
        <v>513</v>
      </c>
      <c r="H444" s="290">
        <v>600</v>
      </c>
      <c r="I444" s="290">
        <f>H444-H443</f>
        <v>88</v>
      </c>
      <c r="J444" s="290" t="s">
        <v>15</v>
      </c>
      <c r="K444" s="289"/>
      <c r="L444" s="290"/>
      <c r="M444" s="291"/>
      <c r="N444" s="295" t="s">
        <v>29</v>
      </c>
    </row>
    <row r="445" spans="1:14" ht="14.45" customHeight="1" x14ac:dyDescent="0.2">
      <c r="A445" s="324"/>
      <c r="B445" s="325"/>
      <c r="C445" s="325"/>
      <c r="D445" s="325"/>
      <c r="E445" s="325"/>
      <c r="F445" s="325"/>
      <c r="G445" s="325"/>
      <c r="H445" s="325"/>
      <c r="I445" s="325"/>
      <c r="J445" s="325"/>
      <c r="K445" s="325"/>
      <c r="L445" s="325"/>
      <c r="M445" s="325"/>
      <c r="N445" s="326"/>
    </row>
    <row r="446" spans="1:14" x14ac:dyDescent="0.2">
      <c r="A446" s="144">
        <f>A444+1</f>
        <v>400</v>
      </c>
      <c r="B446" s="144"/>
      <c r="C446" s="163" t="s">
        <v>691</v>
      </c>
      <c r="D446" s="164"/>
      <c r="E446" s="106" t="s">
        <v>14</v>
      </c>
      <c r="F446" s="106"/>
      <c r="G446" s="107">
        <f>$H$16+1</f>
        <v>7</v>
      </c>
      <c r="H446" s="107">
        <f>I446+$H$16</f>
        <v>9</v>
      </c>
      <c r="I446" s="107">
        <v>3</v>
      </c>
      <c r="J446" s="107" t="s">
        <v>18</v>
      </c>
      <c r="K446" s="106"/>
      <c r="L446" s="107"/>
      <c r="M446" s="108"/>
      <c r="N446" s="168" t="s">
        <v>692</v>
      </c>
    </row>
    <row r="447" spans="1:14" ht="15" x14ac:dyDescent="0.2">
      <c r="A447" s="144">
        <f t="shared" si="115"/>
        <v>401</v>
      </c>
      <c r="B447" s="144"/>
      <c r="C447" s="112"/>
      <c r="D447" s="166" t="s">
        <v>267</v>
      </c>
      <c r="E447" s="110">
        <v>99</v>
      </c>
      <c r="F447" s="110"/>
      <c r="G447" s="107">
        <f>H446+1</f>
        <v>10</v>
      </c>
      <c r="H447" s="107">
        <f>H446+I447</f>
        <v>12</v>
      </c>
      <c r="I447" s="111">
        <v>3</v>
      </c>
      <c r="J447" s="111" t="s">
        <v>18</v>
      </c>
      <c r="K447" s="124"/>
      <c r="L447" s="107"/>
      <c r="M447" s="108"/>
      <c r="N447" s="108" t="s">
        <v>268</v>
      </c>
    </row>
    <row r="448" spans="1:14" ht="15" x14ac:dyDescent="0.2">
      <c r="A448" s="144">
        <f t="shared" si="115"/>
        <v>402</v>
      </c>
      <c r="B448" s="144"/>
      <c r="C448" s="112"/>
      <c r="D448" s="105" t="s">
        <v>693</v>
      </c>
      <c r="E448" s="124">
        <v>325</v>
      </c>
      <c r="F448" s="124"/>
      <c r="G448" s="107"/>
      <c r="H448" s="107"/>
      <c r="I448" s="125"/>
      <c r="J448" s="125"/>
      <c r="K448" s="110"/>
      <c r="L448" s="125"/>
      <c r="M448" s="108"/>
      <c r="N448" s="108" t="s">
        <v>694</v>
      </c>
    </row>
    <row r="449" spans="1:14" ht="15" x14ac:dyDescent="0.2">
      <c r="A449" s="144">
        <f t="shared" si="115"/>
        <v>403</v>
      </c>
      <c r="B449" s="144"/>
      <c r="C449" s="129"/>
      <c r="D449" s="105" t="s">
        <v>695</v>
      </c>
      <c r="E449" s="124" t="s">
        <v>696</v>
      </c>
      <c r="F449" s="124"/>
      <c r="G449" s="107">
        <f>H447+1</f>
        <v>13</v>
      </c>
      <c r="H449" s="107">
        <f>H447+I449</f>
        <v>15</v>
      </c>
      <c r="I449" s="125">
        <v>3</v>
      </c>
      <c r="J449" s="125" t="s">
        <v>15</v>
      </c>
      <c r="K449" s="110"/>
      <c r="L449" s="125"/>
      <c r="M449" s="108"/>
      <c r="N449" s="108" t="s">
        <v>697</v>
      </c>
    </row>
    <row r="450" spans="1:14" ht="15" x14ac:dyDescent="0.2">
      <c r="A450" s="144">
        <f t="shared" si="115"/>
        <v>404</v>
      </c>
      <c r="B450" s="144"/>
      <c r="C450" s="129"/>
      <c r="D450" s="105" t="s">
        <v>698</v>
      </c>
      <c r="E450" s="124" t="s">
        <v>696</v>
      </c>
      <c r="F450" s="124"/>
      <c r="G450" s="107">
        <f>H449+1</f>
        <v>16</v>
      </c>
      <c r="H450" s="107">
        <v>17</v>
      </c>
      <c r="I450" s="125">
        <v>2</v>
      </c>
      <c r="J450" s="125" t="s">
        <v>15</v>
      </c>
      <c r="K450" s="110"/>
      <c r="L450" s="125"/>
      <c r="M450" s="108"/>
      <c r="N450" s="108" t="s">
        <v>699</v>
      </c>
    </row>
    <row r="451" spans="1:14" ht="15" x14ac:dyDescent="0.2">
      <c r="A451" s="144">
        <f t="shared" si="115"/>
        <v>405</v>
      </c>
      <c r="B451" s="144"/>
      <c r="C451" s="129"/>
      <c r="D451" s="105" t="s">
        <v>700</v>
      </c>
      <c r="E451" s="124" t="s">
        <v>701</v>
      </c>
      <c r="F451" s="124"/>
      <c r="G451" s="107">
        <v>18</v>
      </c>
      <c r="H451" s="107">
        <v>47</v>
      </c>
      <c r="I451" s="125">
        <v>30</v>
      </c>
      <c r="J451" s="125" t="s">
        <v>15</v>
      </c>
      <c r="K451" s="110"/>
      <c r="L451" s="125"/>
      <c r="M451" s="108"/>
      <c r="N451" s="108"/>
    </row>
    <row r="452" spans="1:14" ht="15" x14ac:dyDescent="0.2">
      <c r="A452" s="144">
        <f t="shared" si="115"/>
        <v>406</v>
      </c>
      <c r="B452" s="144"/>
      <c r="C452" s="129"/>
      <c r="D452" s="105" t="s">
        <v>702</v>
      </c>
      <c r="E452" s="124" t="s">
        <v>701</v>
      </c>
      <c r="F452" s="124"/>
      <c r="G452" s="107">
        <v>48</v>
      </c>
      <c r="H452" s="107">
        <v>59</v>
      </c>
      <c r="I452" s="125">
        <v>12</v>
      </c>
      <c r="J452" s="125" t="s">
        <v>15</v>
      </c>
      <c r="K452" s="110"/>
      <c r="L452" s="125"/>
      <c r="M452" s="108"/>
      <c r="N452" s="108"/>
    </row>
    <row r="453" spans="1:14" ht="15" x14ac:dyDescent="0.2">
      <c r="A453" s="144">
        <f t="shared" si="115"/>
        <v>407</v>
      </c>
      <c r="B453" s="144"/>
      <c r="C453" s="129"/>
      <c r="D453" s="105" t="s">
        <v>703</v>
      </c>
      <c r="E453" s="124" t="s">
        <v>701</v>
      </c>
      <c r="F453" s="124"/>
      <c r="G453" s="107">
        <v>60</v>
      </c>
      <c r="H453" s="107">
        <v>61</v>
      </c>
      <c r="I453" s="125">
        <v>2</v>
      </c>
      <c r="J453" s="125" t="s">
        <v>15</v>
      </c>
      <c r="K453" s="110"/>
      <c r="L453" s="125"/>
      <c r="M453" s="108"/>
      <c r="N453" s="108"/>
    </row>
    <row r="454" spans="1:14" ht="15" x14ac:dyDescent="0.2">
      <c r="A454" s="144">
        <f t="shared" si="115"/>
        <v>408</v>
      </c>
      <c r="B454" s="144"/>
      <c r="C454" s="129"/>
      <c r="D454" s="105" t="s">
        <v>704</v>
      </c>
      <c r="E454" s="124" t="s">
        <v>701</v>
      </c>
      <c r="F454" s="124"/>
      <c r="G454" s="107">
        <v>62</v>
      </c>
      <c r="H454" s="107">
        <v>71</v>
      </c>
      <c r="I454" s="125">
        <v>10</v>
      </c>
      <c r="J454" s="125" t="s">
        <v>15</v>
      </c>
      <c r="K454" s="110"/>
      <c r="L454" s="125"/>
      <c r="M454" s="108"/>
      <c r="N454" s="108"/>
    </row>
    <row r="455" spans="1:14" ht="15" x14ac:dyDescent="0.2">
      <c r="A455" s="144">
        <f t="shared" si="115"/>
        <v>409</v>
      </c>
      <c r="B455" s="144"/>
      <c r="C455" s="129"/>
      <c r="D455" s="105" t="s">
        <v>705</v>
      </c>
      <c r="E455" s="124" t="s">
        <v>701</v>
      </c>
      <c r="F455" s="124"/>
      <c r="G455" s="107">
        <v>72</v>
      </c>
      <c r="H455" s="107">
        <v>72</v>
      </c>
      <c r="I455" s="125">
        <v>1</v>
      </c>
      <c r="J455" s="125" t="s">
        <v>15</v>
      </c>
      <c r="K455" s="110"/>
      <c r="L455" s="125"/>
      <c r="M455" s="108"/>
      <c r="N455" s="108"/>
    </row>
    <row r="456" spans="1:14" ht="15" x14ac:dyDescent="0.2">
      <c r="A456" s="144">
        <f t="shared" si="115"/>
        <v>410</v>
      </c>
      <c r="B456" s="144"/>
      <c r="C456" s="129"/>
      <c r="D456" s="105" t="s">
        <v>706</v>
      </c>
      <c r="E456" s="124" t="s">
        <v>701</v>
      </c>
      <c r="F456" s="124"/>
      <c r="G456" s="107">
        <v>73</v>
      </c>
      <c r="H456" s="107">
        <v>75</v>
      </c>
      <c r="I456" s="125">
        <v>3</v>
      </c>
      <c r="J456" s="125" t="s">
        <v>15</v>
      </c>
      <c r="K456" s="110"/>
      <c r="L456" s="125"/>
      <c r="M456" s="108"/>
      <c r="N456" s="108"/>
    </row>
    <row r="457" spans="1:14" ht="15" x14ac:dyDescent="0.2">
      <c r="A457" s="144">
        <f t="shared" si="115"/>
        <v>411</v>
      </c>
      <c r="B457" s="144"/>
      <c r="C457" s="129"/>
      <c r="D457" s="105" t="s">
        <v>707</v>
      </c>
      <c r="E457" s="124" t="s">
        <v>701</v>
      </c>
      <c r="F457" s="124"/>
      <c r="G457" s="107">
        <v>76</v>
      </c>
      <c r="H457" s="107">
        <v>83</v>
      </c>
      <c r="I457" s="125">
        <v>8</v>
      </c>
      <c r="J457" s="125" t="s">
        <v>106</v>
      </c>
      <c r="K457" s="110"/>
      <c r="L457" s="125"/>
      <c r="M457" s="108" t="s">
        <v>19</v>
      </c>
      <c r="N457" s="108"/>
    </row>
    <row r="458" spans="1:14" ht="15" x14ac:dyDescent="0.2">
      <c r="A458" s="144">
        <f t="shared" si="115"/>
        <v>412</v>
      </c>
      <c r="B458" s="144"/>
      <c r="C458" s="129"/>
      <c r="D458" s="105" t="s">
        <v>708</v>
      </c>
      <c r="E458" s="124" t="s">
        <v>701</v>
      </c>
      <c r="F458" s="124"/>
      <c r="G458" s="107">
        <v>84</v>
      </c>
      <c r="H458" s="107">
        <v>96</v>
      </c>
      <c r="I458" s="125">
        <v>13</v>
      </c>
      <c r="J458" s="125" t="s">
        <v>15</v>
      </c>
      <c r="K458" s="110"/>
      <c r="L458" s="125"/>
      <c r="M458" s="108"/>
      <c r="N458" s="108"/>
    </row>
    <row r="459" spans="1:14" ht="15" x14ac:dyDescent="0.2">
      <c r="A459" s="144">
        <f t="shared" si="115"/>
        <v>413</v>
      </c>
      <c r="B459" s="144"/>
      <c r="C459" s="129"/>
      <c r="D459" s="105" t="s">
        <v>709</v>
      </c>
      <c r="E459" s="124" t="s">
        <v>701</v>
      </c>
      <c r="F459" s="124"/>
      <c r="G459" s="107">
        <v>97</v>
      </c>
      <c r="H459" s="107">
        <v>100</v>
      </c>
      <c r="I459" s="125">
        <v>4</v>
      </c>
      <c r="J459" s="125" t="s">
        <v>15</v>
      </c>
      <c r="K459" s="110"/>
      <c r="L459" s="125"/>
      <c r="M459" s="108"/>
      <c r="N459" s="108"/>
    </row>
    <row r="460" spans="1:14" ht="15" x14ac:dyDescent="0.2">
      <c r="A460" s="144">
        <f t="shared" ref="A460:A475" si="126">A459+1</f>
        <v>414</v>
      </c>
      <c r="B460" s="144"/>
      <c r="C460" s="129"/>
      <c r="D460" s="105" t="s">
        <v>710</v>
      </c>
      <c r="E460" s="124" t="s">
        <v>701</v>
      </c>
      <c r="F460" s="124"/>
      <c r="G460" s="107">
        <v>101</v>
      </c>
      <c r="H460" s="107">
        <v>105</v>
      </c>
      <c r="I460" s="125">
        <v>5</v>
      </c>
      <c r="J460" s="125" t="s">
        <v>15</v>
      </c>
      <c r="K460" s="110"/>
      <c r="L460" s="125"/>
      <c r="M460" s="108"/>
      <c r="N460" s="108" t="s">
        <v>711</v>
      </c>
    </row>
    <row r="461" spans="1:14" ht="15" x14ac:dyDescent="0.2">
      <c r="A461" s="144">
        <f t="shared" si="126"/>
        <v>415</v>
      </c>
      <c r="B461" s="144"/>
      <c r="C461" s="129"/>
      <c r="D461" s="105" t="s">
        <v>712</v>
      </c>
      <c r="E461" s="124" t="s">
        <v>701</v>
      </c>
      <c r="F461" s="124"/>
      <c r="G461" s="107">
        <v>106</v>
      </c>
      <c r="H461" s="107">
        <v>110</v>
      </c>
      <c r="I461" s="125">
        <v>5</v>
      </c>
      <c r="J461" s="125" t="s">
        <v>15</v>
      </c>
      <c r="K461" s="110"/>
      <c r="L461" s="125"/>
      <c r="M461" s="108"/>
      <c r="N461" s="108" t="s">
        <v>711</v>
      </c>
    </row>
    <row r="462" spans="1:14" ht="15" x14ac:dyDescent="0.2">
      <c r="A462" s="144">
        <f t="shared" si="126"/>
        <v>416</v>
      </c>
      <c r="B462" s="144"/>
      <c r="C462" s="129"/>
      <c r="D462" s="105" t="s">
        <v>713</v>
      </c>
      <c r="E462" s="124" t="s">
        <v>701</v>
      </c>
      <c r="F462" s="124"/>
      <c r="G462" s="107">
        <v>111</v>
      </c>
      <c r="H462" s="107">
        <v>113</v>
      </c>
      <c r="I462" s="125">
        <v>3</v>
      </c>
      <c r="J462" s="125" t="s">
        <v>15</v>
      </c>
      <c r="K462" s="110"/>
      <c r="L462" s="125"/>
      <c r="M462" s="108"/>
      <c r="N462" s="108" t="s">
        <v>714</v>
      </c>
    </row>
    <row r="463" spans="1:14" ht="15" x14ac:dyDescent="0.2">
      <c r="A463" s="144">
        <f t="shared" si="126"/>
        <v>417</v>
      </c>
      <c r="B463" s="144"/>
      <c r="C463" s="129"/>
      <c r="D463" s="105" t="s">
        <v>715</v>
      </c>
      <c r="E463" s="124" t="s">
        <v>701</v>
      </c>
      <c r="F463" s="124"/>
      <c r="G463" s="107">
        <v>114</v>
      </c>
      <c r="H463" s="107">
        <v>127</v>
      </c>
      <c r="I463" s="125">
        <v>14</v>
      </c>
      <c r="J463" s="125" t="s">
        <v>15</v>
      </c>
      <c r="K463" s="110"/>
      <c r="L463" s="125"/>
      <c r="M463" s="108"/>
      <c r="N463" s="108"/>
    </row>
    <row r="464" spans="1:14" ht="15" x14ac:dyDescent="0.2">
      <c r="A464" s="144">
        <f t="shared" si="126"/>
        <v>418</v>
      </c>
      <c r="B464" s="144"/>
      <c r="C464" s="129"/>
      <c r="D464" s="105" t="s">
        <v>716</v>
      </c>
      <c r="E464" s="124" t="s">
        <v>701</v>
      </c>
      <c r="F464" s="124"/>
      <c r="G464" s="107">
        <v>128</v>
      </c>
      <c r="H464" s="107">
        <v>139</v>
      </c>
      <c r="I464" s="125">
        <v>12</v>
      </c>
      <c r="J464" s="125" t="s">
        <v>18</v>
      </c>
      <c r="K464" s="110"/>
      <c r="L464" s="125"/>
      <c r="M464" s="108" t="s">
        <v>717</v>
      </c>
      <c r="N464" s="108"/>
    </row>
    <row r="465" spans="1:14" ht="15" x14ac:dyDescent="0.2">
      <c r="A465" s="144">
        <f t="shared" si="126"/>
        <v>419</v>
      </c>
      <c r="B465" s="144"/>
      <c r="C465" s="129"/>
      <c r="D465" s="105" t="s">
        <v>718</v>
      </c>
      <c r="E465" s="124" t="s">
        <v>701</v>
      </c>
      <c r="F465" s="124"/>
      <c r="G465" s="107">
        <v>140</v>
      </c>
      <c r="H465" s="107">
        <v>148</v>
      </c>
      <c r="I465" s="125">
        <v>9</v>
      </c>
      <c r="J465" s="125" t="s">
        <v>18</v>
      </c>
      <c r="K465" s="110"/>
      <c r="L465" s="125"/>
      <c r="M465" s="108"/>
      <c r="N465" s="108"/>
    </row>
    <row r="466" spans="1:14" ht="15" x14ac:dyDescent="0.2">
      <c r="A466" s="144">
        <f t="shared" si="126"/>
        <v>420</v>
      </c>
      <c r="B466" s="144"/>
      <c r="C466" s="129"/>
      <c r="D466" s="105" t="s">
        <v>719</v>
      </c>
      <c r="E466" s="124" t="s">
        <v>701</v>
      </c>
      <c r="F466" s="124"/>
      <c r="G466" s="107">
        <v>149</v>
      </c>
      <c r="H466" s="107">
        <v>162</v>
      </c>
      <c r="I466" s="125">
        <v>14</v>
      </c>
      <c r="J466" s="125" t="s">
        <v>18</v>
      </c>
      <c r="K466" s="110"/>
      <c r="L466" s="125">
        <v>4</v>
      </c>
      <c r="M466" s="114"/>
      <c r="N466" s="108" t="s">
        <v>720</v>
      </c>
    </row>
    <row r="467" spans="1:14" ht="15" x14ac:dyDescent="0.2">
      <c r="A467" s="144">
        <f t="shared" si="126"/>
        <v>421</v>
      </c>
      <c r="B467" s="144"/>
      <c r="C467" s="129"/>
      <c r="D467" s="105" t="s">
        <v>721</v>
      </c>
      <c r="E467" s="124" t="s">
        <v>701</v>
      </c>
      <c r="F467" s="124"/>
      <c r="G467" s="107">
        <f>H475+1</f>
        <v>254</v>
      </c>
      <c r="H467" s="107">
        <f>H475+I467</f>
        <v>260</v>
      </c>
      <c r="I467" s="125">
        <v>7</v>
      </c>
      <c r="J467" s="125" t="s">
        <v>15</v>
      </c>
      <c r="K467" s="110"/>
      <c r="L467" s="125"/>
      <c r="M467" s="108"/>
      <c r="N467" s="108"/>
    </row>
    <row r="468" spans="1:14" ht="15" x14ac:dyDescent="0.2">
      <c r="A468" s="144">
        <f t="shared" si="126"/>
        <v>422</v>
      </c>
      <c r="B468" s="144"/>
      <c r="C468" s="129"/>
      <c r="D468" s="105" t="s">
        <v>722</v>
      </c>
      <c r="E468" s="124" t="s">
        <v>701</v>
      </c>
      <c r="F468" s="124"/>
      <c r="G468" s="107">
        <f>H466+1</f>
        <v>163</v>
      </c>
      <c r="H468" s="107">
        <f>H466+I468</f>
        <v>177</v>
      </c>
      <c r="I468" s="125">
        <v>15</v>
      </c>
      <c r="J468" s="125" t="s">
        <v>15</v>
      </c>
      <c r="K468" s="110"/>
      <c r="L468" s="125"/>
      <c r="M468" s="108"/>
      <c r="N468" s="108"/>
    </row>
    <row r="469" spans="1:14" ht="15" x14ac:dyDescent="0.2">
      <c r="A469" s="144">
        <f t="shared" si="126"/>
        <v>423</v>
      </c>
      <c r="B469" s="144"/>
      <c r="C469" s="129"/>
      <c r="D469" s="105" t="s">
        <v>723</v>
      </c>
      <c r="E469" s="124" t="s">
        <v>701</v>
      </c>
      <c r="F469" s="124"/>
      <c r="G469" s="107">
        <v>178</v>
      </c>
      <c r="H469" s="107">
        <v>181</v>
      </c>
      <c r="I469" s="125">
        <v>4</v>
      </c>
      <c r="J469" s="125" t="s">
        <v>15</v>
      </c>
      <c r="K469" s="110"/>
      <c r="L469" s="125"/>
      <c r="M469" s="108"/>
      <c r="N469" s="108"/>
    </row>
    <row r="470" spans="1:14" ht="15" x14ac:dyDescent="0.2">
      <c r="A470" s="144">
        <f t="shared" si="126"/>
        <v>424</v>
      </c>
      <c r="B470" s="144"/>
      <c r="C470" s="129"/>
      <c r="D470" s="105" t="s">
        <v>724</v>
      </c>
      <c r="E470" s="124" t="s">
        <v>701</v>
      </c>
      <c r="F470" s="124"/>
      <c r="G470" s="107">
        <v>182</v>
      </c>
      <c r="H470" s="107">
        <v>197</v>
      </c>
      <c r="I470" s="125">
        <v>16</v>
      </c>
      <c r="J470" s="125" t="s">
        <v>15</v>
      </c>
      <c r="K470" s="110"/>
      <c r="L470" s="125"/>
      <c r="M470" s="108"/>
      <c r="N470" s="108"/>
    </row>
    <row r="471" spans="1:14" ht="15" x14ac:dyDescent="0.2">
      <c r="A471" s="144">
        <f t="shared" si="126"/>
        <v>425</v>
      </c>
      <c r="B471" s="144"/>
      <c r="C471" s="129"/>
      <c r="D471" s="105" t="s">
        <v>725</v>
      </c>
      <c r="E471" s="124" t="s">
        <v>701</v>
      </c>
      <c r="F471" s="124"/>
      <c r="G471" s="107">
        <v>198</v>
      </c>
      <c r="H471" s="107">
        <v>200</v>
      </c>
      <c r="I471" s="125">
        <v>3</v>
      </c>
      <c r="J471" s="125" t="s">
        <v>15</v>
      </c>
      <c r="K471" s="110"/>
      <c r="L471" s="125"/>
      <c r="M471" s="108"/>
      <c r="N471" s="108"/>
    </row>
    <row r="472" spans="1:14" ht="15" x14ac:dyDescent="0.2">
      <c r="A472" s="144">
        <f t="shared" si="126"/>
        <v>426</v>
      </c>
      <c r="B472" s="144"/>
      <c r="C472" s="129"/>
      <c r="D472" s="105" t="s">
        <v>726</v>
      </c>
      <c r="E472" s="124" t="s">
        <v>701</v>
      </c>
      <c r="F472" s="124"/>
      <c r="G472" s="107">
        <v>201</v>
      </c>
      <c r="H472" s="107">
        <v>209</v>
      </c>
      <c r="I472" s="125">
        <v>9</v>
      </c>
      <c r="J472" s="125" t="s">
        <v>15</v>
      </c>
      <c r="K472" s="110"/>
      <c r="L472" s="125"/>
      <c r="M472" s="130">
        <v>1</v>
      </c>
      <c r="N472" s="108" t="s">
        <v>727</v>
      </c>
    </row>
    <row r="473" spans="1:14" ht="15" x14ac:dyDescent="0.2">
      <c r="A473" s="144">
        <f t="shared" si="126"/>
        <v>427</v>
      </c>
      <c r="B473" s="144"/>
      <c r="C473" s="129"/>
      <c r="D473" s="105" t="s">
        <v>728</v>
      </c>
      <c r="E473" s="124" t="s">
        <v>701</v>
      </c>
      <c r="F473" s="124"/>
      <c r="G473" s="107">
        <v>210</v>
      </c>
      <c r="H473" s="107">
        <v>213</v>
      </c>
      <c r="I473" s="125">
        <v>4</v>
      </c>
      <c r="J473" s="125" t="s">
        <v>15</v>
      </c>
      <c r="K473" s="110"/>
      <c r="L473" s="125"/>
      <c r="M473" s="108"/>
      <c r="N473" s="108"/>
    </row>
    <row r="474" spans="1:14" ht="15" x14ac:dyDescent="0.2">
      <c r="A474" s="144">
        <f t="shared" si="126"/>
        <v>428</v>
      </c>
      <c r="B474" s="144"/>
      <c r="C474" s="129"/>
      <c r="D474" s="105" t="s">
        <v>729</v>
      </c>
      <c r="E474" s="124" t="s">
        <v>701</v>
      </c>
      <c r="F474" s="124"/>
      <c r="G474" s="107">
        <v>214</v>
      </c>
      <c r="H474" s="107">
        <v>243</v>
      </c>
      <c r="I474" s="125">
        <v>30</v>
      </c>
      <c r="J474" s="125" t="s">
        <v>15</v>
      </c>
      <c r="K474" s="110"/>
      <c r="L474" s="125"/>
      <c r="M474" s="108"/>
      <c r="N474" s="108" t="s">
        <v>730</v>
      </c>
    </row>
    <row r="475" spans="1:14" ht="15" x14ac:dyDescent="0.2">
      <c r="A475" s="144">
        <f t="shared" si="126"/>
        <v>429</v>
      </c>
      <c r="B475" s="144"/>
      <c r="C475" s="129"/>
      <c r="D475" s="105" t="s">
        <v>731</v>
      </c>
      <c r="E475" s="124" t="s">
        <v>701</v>
      </c>
      <c r="F475" s="124"/>
      <c r="G475" s="107">
        <v>244</v>
      </c>
      <c r="H475" s="107">
        <v>253</v>
      </c>
      <c r="I475" s="125">
        <v>10</v>
      </c>
      <c r="J475" s="125" t="s">
        <v>15</v>
      </c>
      <c r="K475" s="110"/>
      <c r="L475" s="125"/>
      <c r="M475" s="108"/>
      <c r="N475" s="108"/>
    </row>
    <row r="476" spans="1:14" ht="15" x14ac:dyDescent="0.2">
      <c r="A476" s="288">
        <f>A475+1</f>
        <v>430</v>
      </c>
      <c r="B476" s="292"/>
      <c r="C476" s="293"/>
      <c r="D476" s="294" t="s">
        <v>28</v>
      </c>
      <c r="E476" s="289" t="s">
        <v>14</v>
      </c>
      <c r="F476" s="289"/>
      <c r="G476" s="290">
        <f>H448+1</f>
        <v>1</v>
      </c>
      <c r="H476" s="290">
        <v>600</v>
      </c>
      <c r="I476" s="290">
        <f>H476-H467</f>
        <v>340</v>
      </c>
      <c r="J476" s="290" t="s">
        <v>15</v>
      </c>
      <c r="K476" s="289"/>
      <c r="L476" s="290"/>
      <c r="M476" s="291"/>
      <c r="N476" s="295" t="s">
        <v>29</v>
      </c>
    </row>
    <row r="477" spans="1:14" ht="14.45" customHeight="1" x14ac:dyDescent="0.2">
      <c r="A477" s="324"/>
      <c r="B477" s="325"/>
      <c r="C477" s="325"/>
      <c r="D477" s="325"/>
      <c r="E477" s="325"/>
      <c r="F477" s="325"/>
      <c r="G477" s="325"/>
      <c r="H477" s="325"/>
      <c r="I477" s="325"/>
      <c r="J477" s="325"/>
      <c r="K477" s="325"/>
      <c r="L477" s="325"/>
      <c r="M477" s="325"/>
      <c r="N477" s="326"/>
    </row>
    <row r="478" spans="1:14" ht="18.75" customHeight="1" x14ac:dyDescent="0.2">
      <c r="A478" s="103">
        <f>A476+1</f>
        <v>431</v>
      </c>
      <c r="B478" s="103"/>
      <c r="C478" s="163" t="s">
        <v>732</v>
      </c>
      <c r="D478" s="171"/>
      <c r="E478" s="106" t="s">
        <v>14</v>
      </c>
      <c r="F478" s="106"/>
      <c r="G478" s="107">
        <f>$H$16+1</f>
        <v>7</v>
      </c>
      <c r="H478" s="107">
        <f>I478+$H$16</f>
        <v>9</v>
      </c>
      <c r="I478" s="107">
        <v>3</v>
      </c>
      <c r="J478" s="107" t="s">
        <v>18</v>
      </c>
      <c r="K478" s="106"/>
      <c r="L478" s="107"/>
      <c r="M478" s="108"/>
      <c r="N478" s="164" t="s">
        <v>733</v>
      </c>
    </row>
    <row r="479" spans="1:14" ht="15" x14ac:dyDescent="0.2">
      <c r="A479" s="103">
        <f t="shared" ref="A479:A542" si="127">A478+1</f>
        <v>432</v>
      </c>
      <c r="B479" s="259"/>
      <c r="C479" s="127"/>
      <c r="D479" s="172" t="s">
        <v>267</v>
      </c>
      <c r="E479" s="110">
        <v>99</v>
      </c>
      <c r="F479" s="110"/>
      <c r="G479" s="107">
        <f t="shared" ref="G479:G494" si="128">H478+1</f>
        <v>10</v>
      </c>
      <c r="H479" s="107">
        <f>H478+I479</f>
        <v>12</v>
      </c>
      <c r="I479" s="111">
        <v>3</v>
      </c>
      <c r="J479" s="111" t="s">
        <v>18</v>
      </c>
      <c r="K479" s="124"/>
      <c r="L479" s="107"/>
      <c r="M479" s="108"/>
      <c r="N479" s="108" t="s">
        <v>268</v>
      </c>
    </row>
    <row r="480" spans="1:14" ht="38.25" x14ac:dyDescent="0.2">
      <c r="A480" s="103">
        <f t="shared" si="127"/>
        <v>433</v>
      </c>
      <c r="B480" s="103"/>
      <c r="C480" s="112"/>
      <c r="D480" s="112" t="s">
        <v>476</v>
      </c>
      <c r="E480" s="106">
        <v>245.02</v>
      </c>
      <c r="F480" s="106"/>
      <c r="G480" s="107">
        <f t="shared" si="128"/>
        <v>13</v>
      </c>
      <c r="H480" s="107">
        <f t="shared" ref="H480:H494" si="129">H479+I480</f>
        <v>13</v>
      </c>
      <c r="I480" s="111">
        <v>1</v>
      </c>
      <c r="J480" s="111" t="s">
        <v>18</v>
      </c>
      <c r="K480" s="124"/>
      <c r="L480" s="111"/>
      <c r="M480" s="108"/>
      <c r="N480" s="108" t="s">
        <v>478</v>
      </c>
    </row>
    <row r="481" spans="1:14" ht="51" x14ac:dyDescent="0.2">
      <c r="A481" s="103">
        <f t="shared" si="127"/>
        <v>434</v>
      </c>
      <c r="B481" s="103"/>
      <c r="C481" s="112"/>
      <c r="D481" s="112" t="s">
        <v>479</v>
      </c>
      <c r="E481" s="106">
        <v>245.04</v>
      </c>
      <c r="F481" s="106"/>
      <c r="G481" s="107">
        <f t="shared" si="128"/>
        <v>14</v>
      </c>
      <c r="H481" s="107">
        <f t="shared" si="129"/>
        <v>14</v>
      </c>
      <c r="I481" s="111">
        <v>1</v>
      </c>
      <c r="J481" s="111" t="s">
        <v>18</v>
      </c>
      <c r="K481" s="124"/>
      <c r="L481" s="111"/>
      <c r="M481" s="108"/>
      <c r="N481" s="108" t="s">
        <v>481</v>
      </c>
    </row>
    <row r="482" spans="1:14" ht="76.5" x14ac:dyDescent="0.2">
      <c r="A482" s="103">
        <f t="shared" si="127"/>
        <v>435</v>
      </c>
      <c r="B482" s="103"/>
      <c r="C482" s="112"/>
      <c r="D482" s="112" t="s">
        <v>482</v>
      </c>
      <c r="E482" s="106">
        <v>245.09</v>
      </c>
      <c r="F482" s="106"/>
      <c r="G482" s="107">
        <f t="shared" si="128"/>
        <v>15</v>
      </c>
      <c r="H482" s="107">
        <f t="shared" si="129"/>
        <v>15</v>
      </c>
      <c r="I482" s="111">
        <v>1</v>
      </c>
      <c r="J482" s="111" t="s">
        <v>18</v>
      </c>
      <c r="K482" s="124"/>
      <c r="L482" s="111">
        <v>0</v>
      </c>
      <c r="M482" s="108"/>
      <c r="N482" s="108" t="s">
        <v>734</v>
      </c>
    </row>
    <row r="483" spans="1:14" ht="25.5" x14ac:dyDescent="0.2">
      <c r="A483" s="103">
        <f t="shared" si="127"/>
        <v>436</v>
      </c>
      <c r="B483" s="103"/>
      <c r="C483" s="112"/>
      <c r="D483" s="112" t="s">
        <v>485</v>
      </c>
      <c r="E483" s="106" t="s">
        <v>735</v>
      </c>
      <c r="F483" s="106"/>
      <c r="G483" s="107">
        <f t="shared" si="128"/>
        <v>16</v>
      </c>
      <c r="H483" s="107">
        <f t="shared" si="129"/>
        <v>17</v>
      </c>
      <c r="I483" s="111">
        <v>2</v>
      </c>
      <c r="J483" s="111" t="s">
        <v>18</v>
      </c>
      <c r="K483" s="124"/>
      <c r="L483" s="111"/>
      <c r="M483" s="108"/>
      <c r="N483" s="108" t="s">
        <v>736</v>
      </c>
    </row>
    <row r="484" spans="1:14" x14ac:dyDescent="0.2">
      <c r="A484" s="103">
        <f t="shared" si="127"/>
        <v>437</v>
      </c>
      <c r="B484" s="259"/>
      <c r="C484" s="127"/>
      <c r="D484" s="128" t="s">
        <v>488</v>
      </c>
      <c r="E484" s="106">
        <v>245.07</v>
      </c>
      <c r="F484" s="106"/>
      <c r="G484" s="107">
        <f t="shared" si="128"/>
        <v>18</v>
      </c>
      <c r="H484" s="107">
        <f t="shared" si="129"/>
        <v>22</v>
      </c>
      <c r="I484" s="111">
        <v>5</v>
      </c>
      <c r="J484" s="111" t="s">
        <v>18</v>
      </c>
      <c r="K484" s="124"/>
      <c r="L484" s="124" t="s">
        <v>490</v>
      </c>
      <c r="M484" s="108"/>
      <c r="N484" s="108"/>
    </row>
    <row r="485" spans="1:14" x14ac:dyDescent="0.2">
      <c r="A485" s="103">
        <f t="shared" si="127"/>
        <v>438</v>
      </c>
      <c r="B485" s="103"/>
      <c r="C485" s="112"/>
      <c r="D485" s="108" t="s">
        <v>492</v>
      </c>
      <c r="E485" s="106">
        <v>245.13</v>
      </c>
      <c r="F485" s="106"/>
      <c r="G485" s="107">
        <f t="shared" si="128"/>
        <v>23</v>
      </c>
      <c r="H485" s="107">
        <f t="shared" si="129"/>
        <v>27</v>
      </c>
      <c r="I485" s="111">
        <v>5</v>
      </c>
      <c r="J485" s="111" t="s">
        <v>18</v>
      </c>
      <c r="K485" s="124"/>
      <c r="L485" s="124" t="s">
        <v>490</v>
      </c>
      <c r="M485" s="108"/>
      <c r="N485" s="108"/>
    </row>
    <row r="486" spans="1:14" x14ac:dyDescent="0.2">
      <c r="A486" s="103">
        <f t="shared" si="127"/>
        <v>439</v>
      </c>
      <c r="B486" s="103"/>
      <c r="C486" s="112"/>
      <c r="D486" s="108" t="s">
        <v>495</v>
      </c>
      <c r="E486" s="106" t="s">
        <v>737</v>
      </c>
      <c r="F486" s="106"/>
      <c r="G486" s="107">
        <f t="shared" si="128"/>
        <v>28</v>
      </c>
      <c r="H486" s="107">
        <f t="shared" si="129"/>
        <v>32</v>
      </c>
      <c r="I486" s="111">
        <v>5</v>
      </c>
      <c r="J486" s="111" t="s">
        <v>18</v>
      </c>
      <c r="K486" s="124"/>
      <c r="L486" s="124" t="s">
        <v>490</v>
      </c>
      <c r="M486" s="108"/>
      <c r="N486" s="108"/>
    </row>
    <row r="487" spans="1:14" x14ac:dyDescent="0.2">
      <c r="A487" s="169">
        <f t="shared" si="127"/>
        <v>440</v>
      </c>
      <c r="B487" s="169"/>
      <c r="C487" s="120"/>
      <c r="D487" s="102" t="s">
        <v>497</v>
      </c>
      <c r="E487" s="170">
        <v>245.06</v>
      </c>
      <c r="F487" s="170"/>
      <c r="G487" s="101">
        <f t="shared" si="128"/>
        <v>33</v>
      </c>
      <c r="H487" s="101">
        <f t="shared" si="129"/>
        <v>37</v>
      </c>
      <c r="I487" s="206">
        <v>5</v>
      </c>
      <c r="J487" s="206" t="s">
        <v>18</v>
      </c>
      <c r="K487" s="185"/>
      <c r="L487" s="185" t="s">
        <v>469</v>
      </c>
      <c r="M487" s="102"/>
      <c r="N487" s="102"/>
    </row>
    <row r="488" spans="1:14" x14ac:dyDescent="0.2">
      <c r="A488" s="169">
        <f t="shared" si="127"/>
        <v>441</v>
      </c>
      <c r="B488" s="260"/>
      <c r="C488" s="210"/>
      <c r="D488" s="211" t="s">
        <v>738</v>
      </c>
      <c r="E488" s="170">
        <v>245.11</v>
      </c>
      <c r="F488" s="170"/>
      <c r="G488" s="101">
        <f t="shared" si="128"/>
        <v>38</v>
      </c>
      <c r="H488" s="101">
        <f t="shared" si="129"/>
        <v>42</v>
      </c>
      <c r="I488" s="206">
        <v>5</v>
      </c>
      <c r="J488" s="206" t="s">
        <v>18</v>
      </c>
      <c r="K488" s="185"/>
      <c r="L488" s="185" t="s">
        <v>469</v>
      </c>
      <c r="M488" s="102"/>
      <c r="N488" s="102"/>
    </row>
    <row r="489" spans="1:14" x14ac:dyDescent="0.2">
      <c r="A489" s="103">
        <f t="shared" si="127"/>
        <v>442</v>
      </c>
      <c r="B489" s="103"/>
      <c r="C489" s="112"/>
      <c r="D489" s="112" t="s">
        <v>738</v>
      </c>
      <c r="E489" s="106">
        <v>245.05</v>
      </c>
      <c r="F489" s="106"/>
      <c r="G489" s="107">
        <f t="shared" si="128"/>
        <v>43</v>
      </c>
      <c r="H489" s="107">
        <f t="shared" si="129"/>
        <v>57</v>
      </c>
      <c r="I489" s="111">
        <v>15</v>
      </c>
      <c r="J489" s="111" t="s">
        <v>18</v>
      </c>
      <c r="K489" s="124"/>
      <c r="L489" s="111">
        <v>2</v>
      </c>
      <c r="M489" s="108"/>
      <c r="N489" s="108" t="s">
        <v>503</v>
      </c>
    </row>
    <row r="490" spans="1:14" x14ac:dyDescent="0.2">
      <c r="A490" s="103">
        <f t="shared" si="127"/>
        <v>443</v>
      </c>
      <c r="B490" s="103"/>
      <c r="C490" s="112"/>
      <c r="D490" s="112" t="s">
        <v>504</v>
      </c>
      <c r="E490" s="106" t="s">
        <v>739</v>
      </c>
      <c r="F490" s="106"/>
      <c r="G490" s="107">
        <f t="shared" si="128"/>
        <v>58</v>
      </c>
      <c r="H490" s="107">
        <f t="shared" si="129"/>
        <v>72</v>
      </c>
      <c r="I490" s="111">
        <v>15</v>
      </c>
      <c r="J490" s="111" t="s">
        <v>18</v>
      </c>
      <c r="K490" s="124"/>
      <c r="L490" s="111">
        <v>2</v>
      </c>
      <c r="M490" s="108"/>
      <c r="N490" s="108"/>
    </row>
    <row r="491" spans="1:14" x14ac:dyDescent="0.2">
      <c r="A491" s="103">
        <f t="shared" si="127"/>
        <v>444</v>
      </c>
      <c r="B491" s="103"/>
      <c r="C491" s="112"/>
      <c r="D491" s="112" t="s">
        <v>506</v>
      </c>
      <c r="E491" s="106" t="s">
        <v>740</v>
      </c>
      <c r="F491" s="106"/>
      <c r="G491" s="107">
        <f t="shared" si="128"/>
        <v>73</v>
      </c>
      <c r="H491" s="107">
        <f t="shared" si="129"/>
        <v>87</v>
      </c>
      <c r="I491" s="111">
        <v>15</v>
      </c>
      <c r="J491" s="111" t="s">
        <v>18</v>
      </c>
      <c r="K491" s="124"/>
      <c r="L491" s="111">
        <v>2</v>
      </c>
      <c r="M491" s="108"/>
      <c r="N491" s="108" t="s">
        <v>503</v>
      </c>
    </row>
    <row r="492" spans="1:14" x14ac:dyDescent="0.2">
      <c r="A492" s="103">
        <f t="shared" si="127"/>
        <v>445</v>
      </c>
      <c r="B492" s="103"/>
      <c r="C492" s="112"/>
      <c r="D492" s="112" t="s">
        <v>508</v>
      </c>
      <c r="E492" s="106" t="s">
        <v>741</v>
      </c>
      <c r="F492" s="106"/>
      <c r="G492" s="107">
        <f t="shared" si="128"/>
        <v>88</v>
      </c>
      <c r="H492" s="107">
        <f t="shared" si="129"/>
        <v>102</v>
      </c>
      <c r="I492" s="111">
        <v>15</v>
      </c>
      <c r="J492" s="111" t="s">
        <v>18</v>
      </c>
      <c r="K492" s="124"/>
      <c r="L492" s="111">
        <v>2</v>
      </c>
      <c r="M492" s="108"/>
      <c r="N492" s="108"/>
    </row>
    <row r="493" spans="1:14" x14ac:dyDescent="0.2">
      <c r="A493" s="103">
        <f t="shared" si="127"/>
        <v>446</v>
      </c>
      <c r="B493" s="103"/>
      <c r="C493" s="112"/>
      <c r="D493" s="108" t="s">
        <v>742</v>
      </c>
      <c r="E493" s="106">
        <v>245.15</v>
      </c>
      <c r="F493" s="106"/>
      <c r="G493" s="107">
        <f t="shared" ref="G493" si="130">H492+1</f>
        <v>103</v>
      </c>
      <c r="H493" s="107">
        <f t="shared" ref="H493" si="131">H492+I493</f>
        <v>107</v>
      </c>
      <c r="I493" s="107">
        <v>5</v>
      </c>
      <c r="J493" s="107" t="s">
        <v>18</v>
      </c>
      <c r="K493" s="106"/>
      <c r="L493" s="124" t="s">
        <v>490</v>
      </c>
      <c r="M493" s="108"/>
      <c r="N493" s="108" t="s">
        <v>743</v>
      </c>
    </row>
    <row r="494" spans="1:14" x14ac:dyDescent="0.2">
      <c r="A494" s="103">
        <f t="shared" ref="A494" si="132">A493+1</f>
        <v>447</v>
      </c>
      <c r="B494" s="103"/>
      <c r="C494" s="112"/>
      <c r="D494" s="108" t="s">
        <v>744</v>
      </c>
      <c r="E494" s="106">
        <v>245.16</v>
      </c>
      <c r="F494" s="106"/>
      <c r="G494" s="107">
        <f t="shared" si="128"/>
        <v>108</v>
      </c>
      <c r="H494" s="107">
        <f t="shared" si="129"/>
        <v>109</v>
      </c>
      <c r="I494" s="107">
        <v>2</v>
      </c>
      <c r="J494" s="107" t="s">
        <v>15</v>
      </c>
      <c r="K494" s="106"/>
      <c r="L494" s="107"/>
      <c r="M494" s="108"/>
      <c r="N494" s="108" t="s">
        <v>745</v>
      </c>
    </row>
    <row r="495" spans="1:14" x14ac:dyDescent="0.2">
      <c r="A495" s="103">
        <f t="shared" si="127"/>
        <v>448</v>
      </c>
      <c r="B495" s="103"/>
      <c r="C495" s="10"/>
      <c r="D495" s="3" t="s">
        <v>497</v>
      </c>
      <c r="E495" s="29">
        <v>245.06</v>
      </c>
      <c r="F495" s="29"/>
      <c r="G495" s="28">
        <f t="shared" ref="G495:G499" si="133">H494+1</f>
        <v>110</v>
      </c>
      <c r="H495" s="28">
        <f t="shared" ref="H495:H499" si="134">H494+I495</f>
        <v>116</v>
      </c>
      <c r="I495" s="18">
        <v>7</v>
      </c>
      <c r="J495" s="18" t="s">
        <v>18</v>
      </c>
      <c r="K495" s="56"/>
      <c r="L495" s="56" t="s">
        <v>454</v>
      </c>
      <c r="M495" s="3"/>
      <c r="N495" s="3" t="s">
        <v>746</v>
      </c>
    </row>
    <row r="496" spans="1:14" x14ac:dyDescent="0.2">
      <c r="A496" s="103">
        <f t="shared" si="127"/>
        <v>449</v>
      </c>
      <c r="B496" s="103"/>
      <c r="C496" s="10"/>
      <c r="D496" s="36" t="s">
        <v>738</v>
      </c>
      <c r="E496" s="29">
        <v>245.11</v>
      </c>
      <c r="F496" s="29"/>
      <c r="G496" s="28">
        <f t="shared" si="133"/>
        <v>117</v>
      </c>
      <c r="H496" s="28">
        <f t="shared" si="134"/>
        <v>123</v>
      </c>
      <c r="I496" s="18">
        <v>7</v>
      </c>
      <c r="J496" s="18" t="s">
        <v>18</v>
      </c>
      <c r="K496" s="56"/>
      <c r="L496" s="56" t="s">
        <v>454</v>
      </c>
      <c r="M496" s="3"/>
      <c r="N496" s="3" t="s">
        <v>747</v>
      </c>
    </row>
    <row r="497" spans="1:14" x14ac:dyDescent="0.2">
      <c r="A497" s="103">
        <f t="shared" si="127"/>
        <v>450</v>
      </c>
      <c r="B497" s="103"/>
      <c r="C497" s="10"/>
      <c r="D497" s="3" t="s">
        <v>748</v>
      </c>
      <c r="E497" s="29" t="s">
        <v>749</v>
      </c>
      <c r="F497" s="29"/>
      <c r="G497" s="28">
        <f t="shared" si="133"/>
        <v>124</v>
      </c>
      <c r="H497" s="28">
        <f t="shared" si="134"/>
        <v>138</v>
      </c>
      <c r="I497" s="18">
        <v>15</v>
      </c>
      <c r="J497" s="18" t="s">
        <v>18</v>
      </c>
      <c r="K497" s="56"/>
      <c r="L497" s="56">
        <v>2</v>
      </c>
      <c r="M497" s="3"/>
      <c r="N497" s="3" t="s">
        <v>545</v>
      </c>
    </row>
    <row r="498" spans="1:14" x14ac:dyDescent="0.2">
      <c r="A498" s="103">
        <f t="shared" si="127"/>
        <v>451</v>
      </c>
      <c r="B498" s="103"/>
      <c r="C498" s="10"/>
      <c r="D498" s="3" t="s">
        <v>750</v>
      </c>
      <c r="E498" s="29" t="s">
        <v>749</v>
      </c>
      <c r="F498" s="29"/>
      <c r="G498" s="28">
        <f t="shared" si="133"/>
        <v>139</v>
      </c>
      <c r="H498" s="28">
        <f>H497+I498</f>
        <v>145</v>
      </c>
      <c r="I498" s="18">
        <v>7</v>
      </c>
      <c r="J498" s="18" t="s">
        <v>18</v>
      </c>
      <c r="K498" s="56"/>
      <c r="L498" s="56" t="s">
        <v>490</v>
      </c>
      <c r="M498" s="3"/>
      <c r="N498" s="3" t="s">
        <v>557</v>
      </c>
    </row>
    <row r="499" spans="1:14" x14ac:dyDescent="0.2">
      <c r="A499" s="103">
        <f t="shared" si="127"/>
        <v>452</v>
      </c>
      <c r="B499" s="103"/>
      <c r="C499" s="10"/>
      <c r="D499" s="3" t="s">
        <v>751</v>
      </c>
      <c r="E499" s="29" t="s">
        <v>749</v>
      </c>
      <c r="F499" s="29"/>
      <c r="G499" s="28">
        <f t="shared" si="133"/>
        <v>146</v>
      </c>
      <c r="H499" s="28">
        <f t="shared" si="134"/>
        <v>160</v>
      </c>
      <c r="I499" s="18">
        <v>15</v>
      </c>
      <c r="J499" s="18" t="s">
        <v>18</v>
      </c>
      <c r="K499" s="56"/>
      <c r="L499" s="56">
        <v>2</v>
      </c>
      <c r="M499" s="3"/>
      <c r="N499" s="3" t="s">
        <v>551</v>
      </c>
    </row>
    <row r="500" spans="1:14" ht="15" x14ac:dyDescent="0.2">
      <c r="A500" s="288">
        <f t="shared" si="127"/>
        <v>453</v>
      </c>
      <c r="B500" s="292"/>
      <c r="C500" s="293"/>
      <c r="D500" s="294" t="s">
        <v>28</v>
      </c>
      <c r="E500" s="289" t="s">
        <v>14</v>
      </c>
      <c r="F500" s="289"/>
      <c r="G500" s="290">
        <f>H499+1</f>
        <v>161</v>
      </c>
      <c r="H500" s="290">
        <v>600</v>
      </c>
      <c r="I500" s="290">
        <f>H500-G500</f>
        <v>439</v>
      </c>
      <c r="J500" s="290" t="s">
        <v>15</v>
      </c>
      <c r="K500" s="289"/>
      <c r="L500" s="290"/>
      <c r="M500" s="291"/>
      <c r="N500" s="295" t="s">
        <v>29</v>
      </c>
    </row>
    <row r="501" spans="1:14" ht="14.45" customHeight="1" x14ac:dyDescent="0.2">
      <c r="A501" s="324"/>
      <c r="B501" s="325"/>
      <c r="C501" s="325"/>
      <c r="D501" s="325"/>
      <c r="E501" s="325"/>
      <c r="F501" s="325"/>
      <c r="G501" s="325"/>
      <c r="H501" s="325"/>
      <c r="I501" s="325"/>
      <c r="J501" s="325"/>
      <c r="K501" s="325"/>
      <c r="L501" s="325"/>
      <c r="M501" s="325"/>
      <c r="N501" s="326"/>
    </row>
    <row r="502" spans="1:14" x14ac:dyDescent="0.2">
      <c r="A502" s="103">
        <f>A500+1</f>
        <v>454</v>
      </c>
      <c r="B502" s="103"/>
      <c r="C502" s="163" t="s">
        <v>752</v>
      </c>
      <c r="D502" s="171"/>
      <c r="E502" s="106" t="s">
        <v>14</v>
      </c>
      <c r="F502" s="106"/>
      <c r="G502" s="107">
        <f>$H$16+1</f>
        <v>7</v>
      </c>
      <c r="H502" s="107">
        <f>I502+$H$16</f>
        <v>9</v>
      </c>
      <c r="I502" s="107">
        <v>3</v>
      </c>
      <c r="J502" s="107" t="s">
        <v>18</v>
      </c>
      <c r="K502" s="106"/>
      <c r="L502" s="107"/>
      <c r="M502" s="108"/>
      <c r="N502" s="164" t="s">
        <v>753</v>
      </c>
    </row>
    <row r="503" spans="1:14" ht="15" x14ac:dyDescent="0.2">
      <c r="A503" s="103">
        <f t="shared" si="127"/>
        <v>455</v>
      </c>
      <c r="B503" s="259"/>
      <c r="C503" s="127"/>
      <c r="D503" s="172" t="s">
        <v>267</v>
      </c>
      <c r="E503" s="110">
        <v>99</v>
      </c>
      <c r="F503" s="110"/>
      <c r="G503" s="107">
        <f t="shared" ref="G503:G504" si="135">H502+1</f>
        <v>10</v>
      </c>
      <c r="H503" s="107">
        <f>H502+I503</f>
        <v>12</v>
      </c>
      <c r="I503" s="111">
        <v>3</v>
      </c>
      <c r="J503" s="111" t="s">
        <v>18</v>
      </c>
      <c r="K503" s="124"/>
      <c r="L503" s="107"/>
      <c r="M503" s="108"/>
      <c r="N503" s="108" t="s">
        <v>268</v>
      </c>
    </row>
    <row r="504" spans="1:14" ht="38.25" x14ac:dyDescent="0.2">
      <c r="A504" s="103">
        <f t="shared" si="127"/>
        <v>456</v>
      </c>
      <c r="B504" s="103"/>
      <c r="C504" s="112"/>
      <c r="D504" s="112" t="s">
        <v>476</v>
      </c>
      <c r="E504" s="106" t="s">
        <v>754</v>
      </c>
      <c r="F504" s="106"/>
      <c r="G504" s="107">
        <f t="shared" si="135"/>
        <v>13</v>
      </c>
      <c r="H504" s="107">
        <f t="shared" ref="H504" si="136">H503+I504</f>
        <v>13</v>
      </c>
      <c r="I504" s="111">
        <v>1</v>
      </c>
      <c r="J504" s="111" t="s">
        <v>18</v>
      </c>
      <c r="K504" s="124"/>
      <c r="L504" s="111"/>
      <c r="M504" s="108"/>
      <c r="N504" s="108" t="s">
        <v>478</v>
      </c>
    </row>
    <row r="505" spans="1:14" ht="25.5" x14ac:dyDescent="0.2">
      <c r="A505" s="103">
        <f t="shared" si="127"/>
        <v>457</v>
      </c>
      <c r="B505" s="103"/>
      <c r="C505" s="112"/>
      <c r="D505" s="112" t="s">
        <v>485</v>
      </c>
      <c r="E505" s="106" t="s">
        <v>755</v>
      </c>
      <c r="F505" s="106"/>
      <c r="G505" s="107">
        <f t="shared" ref="G505" si="137">H504+1</f>
        <v>14</v>
      </c>
      <c r="H505" s="107">
        <f t="shared" ref="H505" si="138">H504+I505</f>
        <v>15</v>
      </c>
      <c r="I505" s="111">
        <v>2</v>
      </c>
      <c r="J505" s="111" t="s">
        <v>18</v>
      </c>
      <c r="K505" s="124"/>
      <c r="L505" s="111"/>
      <c r="M505" s="108"/>
      <c r="N505" s="108" t="s">
        <v>756</v>
      </c>
    </row>
    <row r="506" spans="1:14" ht="25.5" x14ac:dyDescent="0.2">
      <c r="A506" s="103">
        <f t="shared" si="127"/>
        <v>458</v>
      </c>
      <c r="B506" s="103"/>
      <c r="C506" s="112"/>
      <c r="D506" s="108" t="s">
        <v>513</v>
      </c>
      <c r="E506" s="106" t="s">
        <v>757</v>
      </c>
      <c r="F506" s="106"/>
      <c r="G506" s="107">
        <f t="shared" ref="G506:G509" si="139">H505+1</f>
        <v>16</v>
      </c>
      <c r="H506" s="107">
        <f t="shared" ref="H506:H509" si="140">H505+I506</f>
        <v>30</v>
      </c>
      <c r="I506" s="107">
        <v>15</v>
      </c>
      <c r="J506" s="107" t="s">
        <v>18</v>
      </c>
      <c r="K506" s="106"/>
      <c r="L506" s="107">
        <v>2</v>
      </c>
      <c r="M506" s="108"/>
      <c r="N506" s="108" t="s">
        <v>514</v>
      </c>
    </row>
    <row r="507" spans="1:14" ht="25.5" x14ac:dyDescent="0.2">
      <c r="A507" s="103">
        <f t="shared" si="127"/>
        <v>459</v>
      </c>
      <c r="B507" s="103"/>
      <c r="C507" s="112"/>
      <c r="D507" s="108" t="s">
        <v>515</v>
      </c>
      <c r="E507" s="106" t="s">
        <v>758</v>
      </c>
      <c r="F507" s="106"/>
      <c r="G507" s="107">
        <f t="shared" si="139"/>
        <v>31</v>
      </c>
      <c r="H507" s="107">
        <f t="shared" si="140"/>
        <v>45</v>
      </c>
      <c r="I507" s="107">
        <v>15</v>
      </c>
      <c r="J507" s="107" t="s">
        <v>18</v>
      </c>
      <c r="K507" s="106"/>
      <c r="L507" s="107">
        <v>2</v>
      </c>
      <c r="M507" s="108"/>
      <c r="N507" s="108" t="s">
        <v>516</v>
      </c>
    </row>
    <row r="508" spans="1:14" x14ac:dyDescent="0.2">
      <c r="A508" s="103">
        <f t="shared" si="127"/>
        <v>460</v>
      </c>
      <c r="B508" s="103"/>
      <c r="C508" s="112"/>
      <c r="D508" s="108" t="s">
        <v>759</v>
      </c>
      <c r="E508" s="106">
        <v>245.22</v>
      </c>
      <c r="F508" s="106"/>
      <c r="G508" s="107">
        <f t="shared" si="139"/>
        <v>46</v>
      </c>
      <c r="H508" s="107">
        <f t="shared" si="140"/>
        <v>60</v>
      </c>
      <c r="I508" s="107">
        <v>15</v>
      </c>
      <c r="J508" s="107" t="s">
        <v>18</v>
      </c>
      <c r="K508" s="106"/>
      <c r="L508" s="107">
        <v>2</v>
      </c>
      <c r="M508" s="108"/>
      <c r="N508" s="108" t="s">
        <v>760</v>
      </c>
    </row>
    <row r="509" spans="1:14" x14ac:dyDescent="0.2">
      <c r="A509" s="103">
        <f t="shared" si="127"/>
        <v>461</v>
      </c>
      <c r="B509" s="103"/>
      <c r="C509" s="112"/>
      <c r="D509" s="108" t="s">
        <v>761</v>
      </c>
      <c r="E509" s="106">
        <v>245.23</v>
      </c>
      <c r="F509" s="106"/>
      <c r="G509" s="107">
        <f t="shared" si="139"/>
        <v>61</v>
      </c>
      <c r="H509" s="107">
        <f t="shared" si="140"/>
        <v>75</v>
      </c>
      <c r="I509" s="107">
        <v>15</v>
      </c>
      <c r="J509" s="107" t="s">
        <v>18</v>
      </c>
      <c r="K509" s="106"/>
      <c r="L509" s="107">
        <v>2</v>
      </c>
      <c r="M509" s="108"/>
      <c r="N509" s="108" t="s">
        <v>762</v>
      </c>
    </row>
    <row r="510" spans="1:14" ht="18.75" customHeight="1" x14ac:dyDescent="0.2">
      <c r="A510" s="288">
        <f>A509+1</f>
        <v>462</v>
      </c>
      <c r="B510" s="292"/>
      <c r="C510" s="293"/>
      <c r="D510" s="294" t="s">
        <v>28</v>
      </c>
      <c r="E510" s="289" t="s">
        <v>14</v>
      </c>
      <c r="F510" s="289"/>
      <c r="G510" s="290">
        <f>H509+1</f>
        <v>76</v>
      </c>
      <c r="H510" s="290">
        <v>600</v>
      </c>
      <c r="I510" s="290">
        <f>H510-H509</f>
        <v>525</v>
      </c>
      <c r="J510" s="290" t="s">
        <v>15</v>
      </c>
      <c r="K510" s="289"/>
      <c r="L510" s="290"/>
      <c r="M510" s="291"/>
      <c r="N510" s="295" t="s">
        <v>29</v>
      </c>
    </row>
    <row r="511" spans="1:14" ht="14.45" customHeight="1" x14ac:dyDescent="0.2">
      <c r="A511" s="324"/>
      <c r="B511" s="325"/>
      <c r="C511" s="325"/>
      <c r="D511" s="325"/>
      <c r="E511" s="325"/>
      <c r="F511" s="325"/>
      <c r="G511" s="325"/>
      <c r="H511" s="325"/>
      <c r="I511" s="325"/>
      <c r="J511" s="325"/>
      <c r="K511" s="325"/>
      <c r="L511" s="325"/>
      <c r="M511" s="325"/>
      <c r="N511" s="326"/>
    </row>
    <row r="512" spans="1:14" x14ac:dyDescent="0.2">
      <c r="A512" s="103">
        <f>A510+1</f>
        <v>463</v>
      </c>
      <c r="B512" s="103"/>
      <c r="C512" s="163" t="s">
        <v>763</v>
      </c>
      <c r="D512" s="171"/>
      <c r="E512" s="106" t="s">
        <v>14</v>
      </c>
      <c r="F512" s="106"/>
      <c r="G512" s="107">
        <f>$H$16+1</f>
        <v>7</v>
      </c>
      <c r="H512" s="107">
        <f>I512+$H$16</f>
        <v>9</v>
      </c>
      <c r="I512" s="107">
        <v>3</v>
      </c>
      <c r="J512" s="107" t="s">
        <v>18</v>
      </c>
      <c r="K512" s="106"/>
      <c r="L512" s="107"/>
      <c r="M512" s="108"/>
      <c r="N512" s="164" t="s">
        <v>753</v>
      </c>
    </row>
    <row r="513" spans="1:14" ht="15" x14ac:dyDescent="0.2">
      <c r="A513" s="103">
        <f t="shared" si="127"/>
        <v>464</v>
      </c>
      <c r="B513" s="259"/>
      <c r="C513" s="127"/>
      <c r="D513" s="172" t="s">
        <v>267</v>
      </c>
      <c r="E513" s="110">
        <v>99</v>
      </c>
      <c r="F513" s="110"/>
      <c r="G513" s="107">
        <f t="shared" ref="G513:G514" si="141">H512+1</f>
        <v>10</v>
      </c>
      <c r="H513" s="107">
        <f>H512+I513</f>
        <v>12</v>
      </c>
      <c r="I513" s="111">
        <v>3</v>
      </c>
      <c r="J513" s="111" t="s">
        <v>18</v>
      </c>
      <c r="K513" s="124"/>
      <c r="L513" s="107"/>
      <c r="M513" s="108"/>
      <c r="N513" s="108" t="s">
        <v>268</v>
      </c>
    </row>
    <row r="514" spans="1:14" ht="63.75" x14ac:dyDescent="0.2">
      <c r="A514" s="103">
        <f t="shared" si="127"/>
        <v>465</v>
      </c>
      <c r="B514" s="103"/>
      <c r="C514" s="112"/>
      <c r="D514" s="112" t="s">
        <v>476</v>
      </c>
      <c r="E514" s="106" t="s">
        <v>764</v>
      </c>
      <c r="F514" s="106"/>
      <c r="G514" s="107">
        <f t="shared" si="141"/>
        <v>13</v>
      </c>
      <c r="H514" s="107">
        <f t="shared" ref="H514" si="142">H513+I514</f>
        <v>13</v>
      </c>
      <c r="I514" s="111">
        <v>1</v>
      </c>
      <c r="J514" s="111" t="s">
        <v>18</v>
      </c>
      <c r="K514" s="124"/>
      <c r="L514" s="111"/>
      <c r="M514" s="108"/>
      <c r="N514" s="108" t="s">
        <v>478</v>
      </c>
    </row>
    <row r="515" spans="1:14" ht="51" x14ac:dyDescent="0.2">
      <c r="A515" s="103">
        <f t="shared" si="127"/>
        <v>466</v>
      </c>
      <c r="B515" s="103"/>
      <c r="C515" s="112"/>
      <c r="D515" s="112" t="s">
        <v>479</v>
      </c>
      <c r="E515" s="106" t="s">
        <v>765</v>
      </c>
      <c r="F515" s="106"/>
      <c r="G515" s="107">
        <f t="shared" ref="G515:G528" si="143">H514+1</f>
        <v>14</v>
      </c>
      <c r="H515" s="107">
        <f t="shared" ref="H515:H528" si="144">H514+I515</f>
        <v>14</v>
      </c>
      <c r="I515" s="111">
        <v>1</v>
      </c>
      <c r="J515" s="111" t="s">
        <v>18</v>
      </c>
      <c r="K515" s="124"/>
      <c r="L515" s="111"/>
      <c r="M515" s="108"/>
      <c r="N515" s="108" t="s">
        <v>481</v>
      </c>
    </row>
    <row r="516" spans="1:14" ht="76.5" x14ac:dyDescent="0.2">
      <c r="A516" s="103">
        <f t="shared" si="127"/>
        <v>467</v>
      </c>
      <c r="B516" s="103"/>
      <c r="C516" s="112"/>
      <c r="D516" s="112" t="s">
        <v>482</v>
      </c>
      <c r="E516" s="106" t="s">
        <v>766</v>
      </c>
      <c r="F516" s="106"/>
      <c r="G516" s="107">
        <f t="shared" si="143"/>
        <v>15</v>
      </c>
      <c r="H516" s="107">
        <f t="shared" si="144"/>
        <v>15</v>
      </c>
      <c r="I516" s="111">
        <v>1</v>
      </c>
      <c r="J516" s="111" t="s">
        <v>18</v>
      </c>
      <c r="K516" s="124"/>
      <c r="L516" s="111">
        <v>0</v>
      </c>
      <c r="M516" s="108"/>
      <c r="N516" s="108" t="s">
        <v>734</v>
      </c>
    </row>
    <row r="517" spans="1:14" ht="204" x14ac:dyDescent="0.2">
      <c r="A517" s="103">
        <f t="shared" si="127"/>
        <v>468</v>
      </c>
      <c r="B517" s="103"/>
      <c r="C517" s="112"/>
      <c r="D517" s="112" t="s">
        <v>767</v>
      </c>
      <c r="E517" s="106" t="s">
        <v>768</v>
      </c>
      <c r="F517" s="106"/>
      <c r="G517" s="107">
        <f t="shared" si="143"/>
        <v>16</v>
      </c>
      <c r="H517" s="107">
        <f t="shared" si="144"/>
        <v>18</v>
      </c>
      <c r="I517" s="111">
        <v>3</v>
      </c>
      <c r="J517" s="111" t="s">
        <v>18</v>
      </c>
      <c r="K517" s="124"/>
      <c r="L517" s="111"/>
      <c r="M517" s="108"/>
      <c r="N517" s="108" t="s">
        <v>769</v>
      </c>
    </row>
    <row r="518" spans="1:14" x14ac:dyDescent="0.2">
      <c r="A518" s="103">
        <f t="shared" si="127"/>
        <v>469</v>
      </c>
      <c r="B518" s="259"/>
      <c r="C518" s="127"/>
      <c r="D518" s="128" t="s">
        <v>488</v>
      </c>
      <c r="E518" s="106" t="s">
        <v>770</v>
      </c>
      <c r="F518" s="106"/>
      <c r="G518" s="107">
        <f t="shared" si="143"/>
        <v>19</v>
      </c>
      <c r="H518" s="107">
        <f t="shared" si="144"/>
        <v>23</v>
      </c>
      <c r="I518" s="111">
        <v>5</v>
      </c>
      <c r="J518" s="111" t="s">
        <v>18</v>
      </c>
      <c r="K518" s="124"/>
      <c r="L518" s="111">
        <v>2</v>
      </c>
      <c r="M518" s="108"/>
      <c r="N518" s="108"/>
    </row>
    <row r="519" spans="1:14" ht="38.25" x14ac:dyDescent="0.2">
      <c r="A519" s="103">
        <f t="shared" si="127"/>
        <v>470</v>
      </c>
      <c r="B519" s="103"/>
      <c r="C519" s="112"/>
      <c r="D519" s="108" t="s">
        <v>492</v>
      </c>
      <c r="E519" s="106" t="s">
        <v>771</v>
      </c>
      <c r="F519" s="106"/>
      <c r="G519" s="107">
        <f t="shared" si="143"/>
        <v>24</v>
      </c>
      <c r="H519" s="107">
        <f t="shared" si="144"/>
        <v>28</v>
      </c>
      <c r="I519" s="111">
        <v>5</v>
      </c>
      <c r="J519" s="111" t="s">
        <v>18</v>
      </c>
      <c r="K519" s="124"/>
      <c r="L519" s="111">
        <v>2</v>
      </c>
      <c r="M519" s="108"/>
      <c r="N519" s="108"/>
    </row>
    <row r="520" spans="1:14" ht="81.75" customHeight="1" x14ac:dyDescent="0.2">
      <c r="A520" s="103">
        <f t="shared" si="127"/>
        <v>471</v>
      </c>
      <c r="B520" s="103"/>
      <c r="C520" s="112"/>
      <c r="D520" s="108" t="s">
        <v>495</v>
      </c>
      <c r="E520" s="106" t="s">
        <v>772</v>
      </c>
      <c r="F520" s="106"/>
      <c r="G520" s="107">
        <f t="shared" si="143"/>
        <v>29</v>
      </c>
      <c r="H520" s="107">
        <f t="shared" si="144"/>
        <v>33</v>
      </c>
      <c r="I520" s="111">
        <v>5</v>
      </c>
      <c r="J520" s="111" t="s">
        <v>18</v>
      </c>
      <c r="K520" s="124"/>
      <c r="L520" s="111">
        <v>2</v>
      </c>
      <c r="M520" s="108"/>
      <c r="N520" s="108"/>
    </row>
    <row r="521" spans="1:14" ht="110.25" customHeight="1" x14ac:dyDescent="0.2">
      <c r="A521" s="103">
        <f t="shared" si="127"/>
        <v>472</v>
      </c>
      <c r="B521" s="103"/>
      <c r="C521" s="120"/>
      <c r="D521" s="102" t="s">
        <v>773</v>
      </c>
      <c r="E521" s="170" t="s">
        <v>774</v>
      </c>
      <c r="F521" s="170"/>
      <c r="G521" s="101">
        <f t="shared" si="143"/>
        <v>34</v>
      </c>
      <c r="H521" s="101">
        <f t="shared" si="144"/>
        <v>38</v>
      </c>
      <c r="I521" s="206">
        <v>5</v>
      </c>
      <c r="J521" s="206" t="s">
        <v>18</v>
      </c>
      <c r="K521" s="185"/>
      <c r="L521" s="206">
        <v>2</v>
      </c>
      <c r="M521" s="102"/>
      <c r="N521" s="102"/>
    </row>
    <row r="522" spans="1:14" ht="38.25" x14ac:dyDescent="0.2">
      <c r="A522" s="103">
        <f t="shared" si="127"/>
        <v>473</v>
      </c>
      <c r="B522" s="259"/>
      <c r="C522" s="127"/>
      <c r="D522" s="128" t="s">
        <v>499</v>
      </c>
      <c r="E522" s="106" t="s">
        <v>775</v>
      </c>
      <c r="F522" s="106"/>
      <c r="G522" s="107">
        <f t="shared" si="143"/>
        <v>39</v>
      </c>
      <c r="H522" s="107">
        <f t="shared" si="144"/>
        <v>43</v>
      </c>
      <c r="I522" s="111">
        <v>5</v>
      </c>
      <c r="J522" s="111" t="s">
        <v>18</v>
      </c>
      <c r="K522" s="124"/>
      <c r="L522" s="111">
        <v>2</v>
      </c>
      <c r="M522" s="108"/>
      <c r="N522" s="108"/>
    </row>
    <row r="523" spans="1:14" x14ac:dyDescent="0.2">
      <c r="A523" s="103">
        <f t="shared" si="127"/>
        <v>474</v>
      </c>
      <c r="B523" s="103"/>
      <c r="C523" s="112"/>
      <c r="D523" s="112" t="s">
        <v>501</v>
      </c>
      <c r="E523" s="106" t="s">
        <v>776</v>
      </c>
      <c r="F523" s="106"/>
      <c r="G523" s="107">
        <f t="shared" si="143"/>
        <v>44</v>
      </c>
      <c r="H523" s="107">
        <f t="shared" si="144"/>
        <v>58</v>
      </c>
      <c r="I523" s="111">
        <v>15</v>
      </c>
      <c r="J523" s="111" t="s">
        <v>18</v>
      </c>
      <c r="K523" s="124"/>
      <c r="L523" s="111">
        <v>2</v>
      </c>
      <c r="M523" s="108"/>
      <c r="N523" s="108" t="s">
        <v>503</v>
      </c>
    </row>
    <row r="524" spans="1:14" ht="38.25" x14ac:dyDescent="0.2">
      <c r="A524" s="103">
        <f t="shared" si="127"/>
        <v>475</v>
      </c>
      <c r="B524" s="103"/>
      <c r="C524" s="112"/>
      <c r="D524" s="112" t="s">
        <v>504</v>
      </c>
      <c r="E524" s="106" t="s">
        <v>777</v>
      </c>
      <c r="F524" s="106"/>
      <c r="G524" s="107">
        <f t="shared" si="143"/>
        <v>59</v>
      </c>
      <c r="H524" s="107">
        <f t="shared" si="144"/>
        <v>73</v>
      </c>
      <c r="I524" s="111">
        <v>15</v>
      </c>
      <c r="J524" s="111" t="s">
        <v>18</v>
      </c>
      <c r="K524" s="124"/>
      <c r="L524" s="111">
        <v>2</v>
      </c>
      <c r="M524" s="108"/>
      <c r="N524" s="108"/>
    </row>
    <row r="525" spans="1:14" ht="25.5" x14ac:dyDescent="0.2">
      <c r="A525" s="103">
        <f t="shared" si="127"/>
        <v>476</v>
      </c>
      <c r="B525" s="103"/>
      <c r="C525" s="112"/>
      <c r="D525" s="112" t="s">
        <v>506</v>
      </c>
      <c r="E525" s="106" t="s">
        <v>778</v>
      </c>
      <c r="F525" s="106"/>
      <c r="G525" s="107">
        <f t="shared" si="143"/>
        <v>74</v>
      </c>
      <c r="H525" s="107">
        <f t="shared" si="144"/>
        <v>88</v>
      </c>
      <c r="I525" s="111">
        <v>15</v>
      </c>
      <c r="J525" s="111" t="s">
        <v>18</v>
      </c>
      <c r="K525" s="124"/>
      <c r="L525" s="111">
        <v>2</v>
      </c>
      <c r="M525" s="108"/>
      <c r="N525" s="108" t="s">
        <v>503</v>
      </c>
    </row>
    <row r="526" spans="1:14" ht="38.25" x14ac:dyDescent="0.2">
      <c r="A526" s="103">
        <f t="shared" si="127"/>
        <v>477</v>
      </c>
      <c r="B526" s="103"/>
      <c r="C526" s="112"/>
      <c r="D526" s="112" t="s">
        <v>508</v>
      </c>
      <c r="E526" s="106" t="s">
        <v>779</v>
      </c>
      <c r="F526" s="106"/>
      <c r="G526" s="107">
        <f t="shared" si="143"/>
        <v>89</v>
      </c>
      <c r="H526" s="107">
        <f t="shared" si="144"/>
        <v>103</v>
      </c>
      <c r="I526" s="111">
        <v>15</v>
      </c>
      <c r="J526" s="111" t="s">
        <v>18</v>
      </c>
      <c r="K526" s="124"/>
      <c r="L526" s="111">
        <v>2</v>
      </c>
      <c r="M526" s="108"/>
      <c r="N526" s="108"/>
    </row>
    <row r="527" spans="1:14" ht="51" x14ac:dyDescent="0.2">
      <c r="A527" s="103">
        <f t="shared" si="127"/>
        <v>478</v>
      </c>
      <c r="B527" s="103"/>
      <c r="C527" s="112"/>
      <c r="D527" s="108" t="s">
        <v>780</v>
      </c>
      <c r="E527" s="106" t="s">
        <v>781</v>
      </c>
      <c r="F527" s="106"/>
      <c r="G527" s="107">
        <f t="shared" si="143"/>
        <v>104</v>
      </c>
      <c r="H527" s="107">
        <f t="shared" si="144"/>
        <v>108</v>
      </c>
      <c r="I527" s="107">
        <v>5</v>
      </c>
      <c r="J527" s="107" t="s">
        <v>18</v>
      </c>
      <c r="K527" s="106"/>
      <c r="L527" s="107">
        <v>2</v>
      </c>
      <c r="M527" s="108"/>
      <c r="N527" s="108"/>
    </row>
    <row r="528" spans="1:14" ht="38.25" x14ac:dyDescent="0.2">
      <c r="A528" s="103">
        <f t="shared" si="127"/>
        <v>479</v>
      </c>
      <c r="B528" s="103"/>
      <c r="C528" s="112"/>
      <c r="D528" s="108" t="s">
        <v>782</v>
      </c>
      <c r="E528" s="187" t="s">
        <v>783</v>
      </c>
      <c r="F528" s="187"/>
      <c r="G528" s="107">
        <f t="shared" si="143"/>
        <v>109</v>
      </c>
      <c r="H528" s="107">
        <f t="shared" si="144"/>
        <v>123</v>
      </c>
      <c r="I528" s="107">
        <v>15</v>
      </c>
      <c r="J528" s="107" t="s">
        <v>18</v>
      </c>
      <c r="K528" s="106"/>
      <c r="L528" s="107">
        <v>2</v>
      </c>
      <c r="M528" s="108"/>
      <c r="N528" s="108"/>
    </row>
    <row r="529" spans="1:14" x14ac:dyDescent="0.2">
      <c r="A529" s="103">
        <f t="shared" si="127"/>
        <v>480</v>
      </c>
      <c r="B529" s="103"/>
      <c r="C529" s="112"/>
      <c r="D529" s="108" t="s">
        <v>784</v>
      </c>
      <c r="E529" s="106" t="s">
        <v>785</v>
      </c>
      <c r="F529" s="106"/>
      <c r="G529" s="107">
        <f t="shared" ref="G529" si="145">H528+1</f>
        <v>124</v>
      </c>
      <c r="H529" s="107">
        <f t="shared" ref="H529" si="146">H528+I529</f>
        <v>138</v>
      </c>
      <c r="I529" s="107">
        <v>15</v>
      </c>
      <c r="J529" s="107" t="s">
        <v>18</v>
      </c>
      <c r="K529" s="106"/>
      <c r="L529" s="107">
        <v>2</v>
      </c>
      <c r="M529" s="108"/>
      <c r="N529" s="108"/>
    </row>
    <row r="530" spans="1:14" x14ac:dyDescent="0.2">
      <c r="A530" s="103">
        <f t="shared" si="127"/>
        <v>481</v>
      </c>
      <c r="B530" s="103"/>
      <c r="C530" s="112"/>
      <c r="D530" s="108" t="s">
        <v>786</v>
      </c>
      <c r="E530" s="106" t="s">
        <v>787</v>
      </c>
      <c r="F530" s="106"/>
      <c r="G530" s="107">
        <f t="shared" ref="G530" si="147">H529+1</f>
        <v>139</v>
      </c>
      <c r="H530" s="107">
        <f>H529+I530</f>
        <v>153</v>
      </c>
      <c r="I530" s="107">
        <v>15</v>
      </c>
      <c r="J530" s="107" t="s">
        <v>18</v>
      </c>
      <c r="K530" s="106"/>
      <c r="L530" s="107">
        <v>2</v>
      </c>
      <c r="M530" s="108"/>
      <c r="N530" s="108"/>
    </row>
    <row r="531" spans="1:14" ht="51" x14ac:dyDescent="0.2">
      <c r="A531" s="103">
        <f t="shared" si="127"/>
        <v>482</v>
      </c>
      <c r="B531" s="103"/>
      <c r="C531" s="112"/>
      <c r="D531" s="108" t="s">
        <v>495</v>
      </c>
      <c r="E531" s="106" t="s">
        <v>788</v>
      </c>
      <c r="F531" s="106"/>
      <c r="G531" s="107">
        <f t="shared" ref="G531:G541" si="148">H530+1</f>
        <v>154</v>
      </c>
      <c r="H531" s="107">
        <f t="shared" ref="H531:H541" si="149">H530+I531</f>
        <v>158</v>
      </c>
      <c r="I531" s="107">
        <v>5</v>
      </c>
      <c r="J531" s="107" t="s">
        <v>18</v>
      </c>
      <c r="K531" s="106"/>
      <c r="L531" s="107">
        <v>2</v>
      </c>
      <c r="M531" s="108"/>
      <c r="N531" s="108"/>
    </row>
    <row r="532" spans="1:14" ht="25.5" x14ac:dyDescent="0.2">
      <c r="A532" s="103">
        <f t="shared" si="127"/>
        <v>483</v>
      </c>
      <c r="B532" s="103"/>
      <c r="C532" s="112"/>
      <c r="D532" s="108" t="s">
        <v>789</v>
      </c>
      <c r="E532" s="106" t="s">
        <v>790</v>
      </c>
      <c r="F532" s="106"/>
      <c r="G532" s="107">
        <f t="shared" si="148"/>
        <v>159</v>
      </c>
      <c r="H532" s="107">
        <f t="shared" si="149"/>
        <v>163</v>
      </c>
      <c r="I532" s="107">
        <v>5</v>
      </c>
      <c r="J532" s="107" t="s">
        <v>18</v>
      </c>
      <c r="K532" s="106"/>
      <c r="L532" s="107">
        <v>2</v>
      </c>
      <c r="M532" s="108"/>
      <c r="N532" s="108"/>
    </row>
    <row r="533" spans="1:14" ht="38.25" x14ac:dyDescent="0.2">
      <c r="A533" s="103">
        <f t="shared" si="127"/>
        <v>484</v>
      </c>
      <c r="B533" s="103"/>
      <c r="C533" s="112"/>
      <c r="D533" s="108" t="s">
        <v>543</v>
      </c>
      <c r="E533" s="106" t="s">
        <v>791</v>
      </c>
      <c r="F533" s="106"/>
      <c r="G533" s="107">
        <f t="shared" si="148"/>
        <v>164</v>
      </c>
      <c r="H533" s="107">
        <f t="shared" si="149"/>
        <v>178</v>
      </c>
      <c r="I533" s="107">
        <v>15</v>
      </c>
      <c r="J533" s="107" t="s">
        <v>18</v>
      </c>
      <c r="K533" s="106"/>
      <c r="L533" s="107">
        <v>2</v>
      </c>
      <c r="M533" s="108"/>
      <c r="N533" s="108" t="s">
        <v>545</v>
      </c>
    </row>
    <row r="534" spans="1:14" ht="38.25" x14ac:dyDescent="0.2">
      <c r="A534" s="103">
        <f t="shared" si="127"/>
        <v>485</v>
      </c>
      <c r="B534" s="103"/>
      <c r="C534" s="112"/>
      <c r="D534" s="108" t="s">
        <v>546</v>
      </c>
      <c r="E534" s="106" t="s">
        <v>792</v>
      </c>
      <c r="F534" s="106"/>
      <c r="G534" s="107">
        <f t="shared" si="148"/>
        <v>179</v>
      </c>
      <c r="H534" s="107">
        <f t="shared" si="149"/>
        <v>185</v>
      </c>
      <c r="I534" s="107">
        <v>7</v>
      </c>
      <c r="J534" s="107" t="s">
        <v>18</v>
      </c>
      <c r="K534" s="106"/>
      <c r="L534" s="107">
        <v>4</v>
      </c>
      <c r="M534" s="108"/>
      <c r="N534" s="108" t="s">
        <v>548</v>
      </c>
    </row>
    <row r="535" spans="1:14" ht="38.25" x14ac:dyDescent="0.2">
      <c r="A535" s="103">
        <f t="shared" si="127"/>
        <v>486</v>
      </c>
      <c r="B535" s="103"/>
      <c r="C535" s="112"/>
      <c r="D535" s="108" t="s">
        <v>549</v>
      </c>
      <c r="E535" s="106" t="s">
        <v>793</v>
      </c>
      <c r="F535" s="106"/>
      <c r="G535" s="107">
        <f t="shared" si="148"/>
        <v>186</v>
      </c>
      <c r="H535" s="107">
        <f t="shared" si="149"/>
        <v>200</v>
      </c>
      <c r="I535" s="107">
        <v>15</v>
      </c>
      <c r="J535" s="107" t="s">
        <v>18</v>
      </c>
      <c r="K535" s="106"/>
      <c r="L535" s="107">
        <v>2</v>
      </c>
      <c r="M535" s="108"/>
      <c r="N535" s="108" t="s">
        <v>551</v>
      </c>
    </row>
    <row r="536" spans="1:14" ht="25.5" x14ac:dyDescent="0.2">
      <c r="A536" s="103">
        <f t="shared" si="127"/>
        <v>487</v>
      </c>
      <c r="B536" s="103"/>
      <c r="C536" s="112"/>
      <c r="D536" s="108" t="s">
        <v>531</v>
      </c>
      <c r="E536" s="106" t="s">
        <v>794</v>
      </c>
      <c r="F536" s="106"/>
      <c r="G536" s="107">
        <f t="shared" si="148"/>
        <v>201</v>
      </c>
      <c r="H536" s="107">
        <f t="shared" si="149"/>
        <v>207</v>
      </c>
      <c r="I536" s="107">
        <v>7</v>
      </c>
      <c r="J536" s="107" t="s">
        <v>18</v>
      </c>
      <c r="K536" s="106"/>
      <c r="L536" s="107">
        <v>4</v>
      </c>
      <c r="M536" s="108"/>
      <c r="N536" s="108" t="s">
        <v>533</v>
      </c>
    </row>
    <row r="537" spans="1:14" x14ac:dyDescent="0.2">
      <c r="A537" s="103">
        <f t="shared" si="127"/>
        <v>488</v>
      </c>
      <c r="B537" s="103"/>
      <c r="C537" s="112"/>
      <c r="D537" s="108" t="s">
        <v>795</v>
      </c>
      <c r="E537" s="106" t="s">
        <v>796</v>
      </c>
      <c r="F537" s="106"/>
      <c r="G537" s="107">
        <f t="shared" si="148"/>
        <v>208</v>
      </c>
      <c r="H537" s="107">
        <f t="shared" si="149"/>
        <v>222</v>
      </c>
      <c r="I537" s="107">
        <v>15</v>
      </c>
      <c r="J537" s="107" t="s">
        <v>18</v>
      </c>
      <c r="K537" s="106"/>
      <c r="L537" s="107">
        <v>2</v>
      </c>
      <c r="M537" s="108"/>
      <c r="N537" s="108" t="s">
        <v>554</v>
      </c>
    </row>
    <row r="538" spans="1:14" ht="25.5" x14ac:dyDescent="0.2">
      <c r="A538" s="103">
        <f t="shared" si="127"/>
        <v>489</v>
      </c>
      <c r="B538" s="103"/>
      <c r="C538" s="112"/>
      <c r="D538" s="108" t="s">
        <v>797</v>
      </c>
      <c r="E538" s="106" t="s">
        <v>798</v>
      </c>
      <c r="F538" s="106"/>
      <c r="G538" s="107">
        <f t="shared" si="148"/>
        <v>223</v>
      </c>
      <c r="H538" s="107">
        <f t="shared" si="149"/>
        <v>229</v>
      </c>
      <c r="I538" s="107">
        <v>7</v>
      </c>
      <c r="J538" s="107" t="s">
        <v>18</v>
      </c>
      <c r="K538" s="106"/>
      <c r="L538" s="107">
        <v>4</v>
      </c>
      <c r="M538" s="108"/>
      <c r="N538" s="108" t="s">
        <v>799</v>
      </c>
    </row>
    <row r="539" spans="1:14" x14ac:dyDescent="0.2">
      <c r="A539" s="103">
        <f t="shared" si="127"/>
        <v>490</v>
      </c>
      <c r="B539" s="103"/>
      <c r="C539" s="112"/>
      <c r="D539" s="108" t="s">
        <v>800</v>
      </c>
      <c r="E539" s="106" t="s">
        <v>801</v>
      </c>
      <c r="F539" s="106"/>
      <c r="G539" s="107">
        <f t="shared" si="148"/>
        <v>230</v>
      </c>
      <c r="H539" s="107">
        <f t="shared" si="149"/>
        <v>244</v>
      </c>
      <c r="I539" s="107">
        <v>15</v>
      </c>
      <c r="J539" s="107" t="s">
        <v>18</v>
      </c>
      <c r="K539" s="106"/>
      <c r="L539" s="107">
        <v>2</v>
      </c>
      <c r="M539" s="108"/>
      <c r="N539" s="108" t="s">
        <v>551</v>
      </c>
    </row>
    <row r="540" spans="1:14" x14ac:dyDescent="0.2">
      <c r="A540" s="103">
        <f t="shared" si="127"/>
        <v>491</v>
      </c>
      <c r="B540" s="103"/>
      <c r="C540" s="112"/>
      <c r="D540" s="108" t="s">
        <v>802</v>
      </c>
      <c r="E540" s="106" t="s">
        <v>803</v>
      </c>
      <c r="F540" s="106"/>
      <c r="G540" s="107">
        <f t="shared" si="148"/>
        <v>245</v>
      </c>
      <c r="H540" s="107">
        <f t="shared" si="149"/>
        <v>251</v>
      </c>
      <c r="I540" s="107">
        <v>7</v>
      </c>
      <c r="J540" s="107" t="s">
        <v>18</v>
      </c>
      <c r="K540" s="106"/>
      <c r="L540" s="107">
        <v>4</v>
      </c>
      <c r="M540" s="108"/>
      <c r="N540" s="108"/>
    </row>
    <row r="541" spans="1:14" x14ac:dyDescent="0.2">
      <c r="A541" s="103">
        <f t="shared" si="127"/>
        <v>492</v>
      </c>
      <c r="B541" s="103"/>
      <c r="C541" s="112"/>
      <c r="D541" s="108" t="s">
        <v>804</v>
      </c>
      <c r="E541" s="106" t="s">
        <v>805</v>
      </c>
      <c r="F541" s="106"/>
      <c r="G541" s="107">
        <f t="shared" si="148"/>
        <v>252</v>
      </c>
      <c r="H541" s="107">
        <f t="shared" si="149"/>
        <v>266</v>
      </c>
      <c r="I541" s="107">
        <v>15</v>
      </c>
      <c r="J541" s="107" t="s">
        <v>18</v>
      </c>
      <c r="K541" s="106"/>
      <c r="L541" s="107">
        <v>2</v>
      </c>
      <c r="M541" s="108"/>
      <c r="N541" s="108"/>
    </row>
    <row r="542" spans="1:14" s="117" customFormat="1" ht="15" x14ac:dyDescent="0.2">
      <c r="A542" s="288">
        <f t="shared" si="127"/>
        <v>493</v>
      </c>
      <c r="B542" s="292"/>
      <c r="C542" s="293"/>
      <c r="D542" s="294" t="s">
        <v>28</v>
      </c>
      <c r="E542" s="289" t="s">
        <v>14</v>
      </c>
      <c r="F542" s="289"/>
      <c r="G542" s="290">
        <f>H541+1</f>
        <v>267</v>
      </c>
      <c r="H542" s="290">
        <v>600</v>
      </c>
      <c r="I542" s="290">
        <f>H542-G542</f>
        <v>333</v>
      </c>
      <c r="J542" s="290" t="s">
        <v>15</v>
      </c>
      <c r="K542" s="289"/>
      <c r="L542" s="290"/>
      <c r="M542" s="291"/>
      <c r="N542" s="295" t="s">
        <v>29</v>
      </c>
    </row>
    <row r="543" spans="1:14" ht="14.45" customHeight="1" x14ac:dyDescent="0.2">
      <c r="A543" s="324"/>
      <c r="B543" s="325"/>
      <c r="C543" s="325"/>
      <c r="D543" s="325"/>
      <c r="E543" s="325"/>
      <c r="F543" s="325"/>
      <c r="G543" s="325"/>
      <c r="H543" s="325"/>
      <c r="I543" s="325"/>
      <c r="J543" s="325"/>
      <c r="K543" s="325"/>
      <c r="L543" s="325"/>
      <c r="M543" s="325"/>
      <c r="N543" s="326"/>
    </row>
    <row r="544" spans="1:14" s="117" customFormat="1" x14ac:dyDescent="0.2">
      <c r="A544" s="103">
        <f>A542+1</f>
        <v>494</v>
      </c>
      <c r="B544" s="103"/>
      <c r="C544" s="163" t="s">
        <v>806</v>
      </c>
      <c r="D544" s="163"/>
      <c r="E544" s="219" t="s">
        <v>14</v>
      </c>
      <c r="F544" s="219"/>
      <c r="G544" s="220">
        <f>$H$16+1</f>
        <v>7</v>
      </c>
      <c r="H544" s="220">
        <f>I544+$H$16</f>
        <v>9</v>
      </c>
      <c r="I544" s="220">
        <v>3</v>
      </c>
      <c r="J544" s="220" t="s">
        <v>18</v>
      </c>
      <c r="K544" s="219"/>
      <c r="L544" s="220"/>
      <c r="M544" s="164"/>
      <c r="N544" s="164" t="s">
        <v>807</v>
      </c>
    </row>
    <row r="545" spans="1:14" s="117" customFormat="1" ht="15" x14ac:dyDescent="0.2">
      <c r="A545" s="103">
        <f t="shared" ref="A545:A632" si="150">A544+1</f>
        <v>495</v>
      </c>
      <c r="B545" s="103"/>
      <c r="C545" s="112"/>
      <c r="D545" s="172" t="s">
        <v>267</v>
      </c>
      <c r="E545" s="110">
        <v>99</v>
      </c>
      <c r="F545" s="110"/>
      <c r="G545" s="107">
        <f>H544+1</f>
        <v>10</v>
      </c>
      <c r="H545" s="107">
        <f>H544+I545</f>
        <v>12</v>
      </c>
      <c r="I545" s="111">
        <v>3</v>
      </c>
      <c r="J545" s="111" t="s">
        <v>18</v>
      </c>
      <c r="K545" s="124"/>
      <c r="L545" s="107"/>
      <c r="M545" s="108"/>
      <c r="N545" s="108" t="s">
        <v>268</v>
      </c>
    </row>
    <row r="546" spans="1:14" x14ac:dyDescent="0.2">
      <c r="A546" s="103">
        <f t="shared" si="150"/>
        <v>496</v>
      </c>
      <c r="B546" s="103"/>
      <c r="C546" s="120"/>
      <c r="D546" s="120" t="s">
        <v>808</v>
      </c>
      <c r="E546" s="170" t="s">
        <v>809</v>
      </c>
      <c r="F546" s="170"/>
      <c r="G546" s="101">
        <f>H545+1</f>
        <v>13</v>
      </c>
      <c r="H546" s="101">
        <f>H545+I546</f>
        <v>32</v>
      </c>
      <c r="I546" s="101">
        <v>20</v>
      </c>
      <c r="J546" s="101" t="s">
        <v>15</v>
      </c>
      <c r="K546" s="266"/>
      <c r="L546" s="101"/>
      <c r="M546" s="102"/>
      <c r="N546" s="102" t="s">
        <v>810</v>
      </c>
    </row>
    <row r="547" spans="1:14" s="117" customFormat="1" ht="15" x14ac:dyDescent="0.2">
      <c r="A547" s="288">
        <f t="shared" si="150"/>
        <v>497</v>
      </c>
      <c r="B547" s="292"/>
      <c r="C547" s="293"/>
      <c r="D547" s="294" t="s">
        <v>28</v>
      </c>
      <c r="E547" s="289" t="s">
        <v>14</v>
      </c>
      <c r="F547" s="289"/>
      <c r="G547" s="290">
        <f>H546+1</f>
        <v>33</v>
      </c>
      <c r="H547" s="290">
        <f>H546+I547</f>
        <v>600</v>
      </c>
      <c r="I547" s="290">
        <v>568</v>
      </c>
      <c r="J547" s="290" t="s">
        <v>15</v>
      </c>
      <c r="K547" s="289"/>
      <c r="L547" s="290"/>
      <c r="M547" s="291"/>
      <c r="N547" s="295" t="s">
        <v>29</v>
      </c>
    </row>
    <row r="548" spans="1:14" ht="14.45" customHeight="1" x14ac:dyDescent="0.2">
      <c r="A548" s="324"/>
      <c r="B548" s="325"/>
      <c r="C548" s="325"/>
      <c r="D548" s="325"/>
      <c r="E548" s="325"/>
      <c r="F548" s="325"/>
      <c r="G548" s="325"/>
      <c r="H548" s="325"/>
      <c r="I548" s="325"/>
      <c r="J548" s="325"/>
      <c r="K548" s="325"/>
      <c r="L548" s="325"/>
      <c r="M548" s="325"/>
      <c r="N548" s="326"/>
    </row>
    <row r="549" spans="1:14" s="117" customFormat="1" x14ac:dyDescent="0.2">
      <c r="A549" s="103">
        <f>A547+1</f>
        <v>498</v>
      </c>
      <c r="B549" s="103"/>
      <c r="C549" s="163" t="s">
        <v>811</v>
      </c>
      <c r="D549" s="163"/>
      <c r="E549" s="219" t="s">
        <v>14</v>
      </c>
      <c r="F549" s="219"/>
      <c r="G549" s="220">
        <f>$H$16+1</f>
        <v>7</v>
      </c>
      <c r="H549" s="220">
        <f>I549+$H$16</f>
        <v>9</v>
      </c>
      <c r="I549" s="220">
        <v>3</v>
      </c>
      <c r="J549" s="220" t="s">
        <v>18</v>
      </c>
      <c r="K549" s="219"/>
      <c r="L549" s="220"/>
      <c r="M549" s="164"/>
      <c r="N549" s="164" t="s">
        <v>812</v>
      </c>
    </row>
    <row r="550" spans="1:14" s="117" customFormat="1" ht="15" x14ac:dyDescent="0.2">
      <c r="A550" s="103">
        <f t="shared" si="150"/>
        <v>499</v>
      </c>
      <c r="B550" s="103"/>
      <c r="C550" s="112"/>
      <c r="D550" s="172" t="s">
        <v>267</v>
      </c>
      <c r="E550" s="110">
        <v>99</v>
      </c>
      <c r="F550" s="110"/>
      <c r="G550" s="107">
        <f>H549+1</f>
        <v>10</v>
      </c>
      <c r="H550" s="107">
        <f>H549+I550</f>
        <v>12</v>
      </c>
      <c r="I550" s="111">
        <v>3</v>
      </c>
      <c r="J550" s="111" t="s">
        <v>18</v>
      </c>
      <c r="K550" s="124"/>
      <c r="L550" s="107"/>
      <c r="M550" s="108"/>
      <c r="N550" s="108" t="s">
        <v>268</v>
      </c>
    </row>
    <row r="551" spans="1:14" s="117" customFormat="1" x14ac:dyDescent="0.2">
      <c r="A551" s="103">
        <f t="shared" si="150"/>
        <v>500</v>
      </c>
      <c r="B551" s="103"/>
      <c r="C551" s="112"/>
      <c r="D551" s="112" t="s">
        <v>813</v>
      </c>
      <c r="E551" s="106" t="s">
        <v>814</v>
      </c>
      <c r="F551" s="106"/>
      <c r="G551" s="107">
        <v>13</v>
      </c>
      <c r="H551" s="107">
        <v>24</v>
      </c>
      <c r="I551" s="107">
        <v>12</v>
      </c>
      <c r="J551" s="107" t="s">
        <v>18</v>
      </c>
      <c r="K551" s="106"/>
      <c r="L551" s="107"/>
      <c r="M551" s="108"/>
      <c r="N551" s="108" t="s">
        <v>810</v>
      </c>
    </row>
    <row r="552" spans="1:14" s="117" customFormat="1" x14ac:dyDescent="0.2">
      <c r="A552" s="103">
        <f t="shared" si="150"/>
        <v>501</v>
      </c>
      <c r="B552" s="103"/>
      <c r="C552" s="112"/>
      <c r="D552" s="112" t="s">
        <v>815</v>
      </c>
      <c r="E552" s="106" t="s">
        <v>816</v>
      </c>
      <c r="F552" s="106"/>
      <c r="G552" s="107">
        <v>25</v>
      </c>
      <c r="H552" s="107">
        <v>68</v>
      </c>
      <c r="I552" s="107">
        <v>44</v>
      </c>
      <c r="J552" s="107" t="s">
        <v>18</v>
      </c>
      <c r="K552" s="106"/>
      <c r="L552" s="107"/>
      <c r="M552" s="108"/>
      <c r="N552" s="108" t="s">
        <v>817</v>
      </c>
    </row>
    <row r="553" spans="1:14" x14ac:dyDescent="0.2">
      <c r="A553" s="103">
        <f t="shared" si="150"/>
        <v>502</v>
      </c>
      <c r="B553" s="103"/>
      <c r="C553" s="112"/>
      <c r="D553" s="112" t="s">
        <v>818</v>
      </c>
      <c r="E553" s="106" t="s">
        <v>819</v>
      </c>
      <c r="F553" s="106"/>
      <c r="G553" s="107">
        <v>69</v>
      </c>
      <c r="H553" s="107">
        <v>83</v>
      </c>
      <c r="I553" s="107">
        <v>15</v>
      </c>
      <c r="J553" s="107" t="s">
        <v>18</v>
      </c>
      <c r="K553" s="106"/>
      <c r="L553" s="107">
        <v>4</v>
      </c>
      <c r="M553" s="108"/>
      <c r="N553" s="108" t="s">
        <v>820</v>
      </c>
    </row>
    <row r="554" spans="1:14" s="117" customFormat="1" ht="15" x14ac:dyDescent="0.2">
      <c r="A554" s="288">
        <f t="shared" si="150"/>
        <v>503</v>
      </c>
      <c r="B554" s="292"/>
      <c r="C554" s="293"/>
      <c r="D554" s="294" t="s">
        <v>28</v>
      </c>
      <c r="E554" s="289" t="s">
        <v>14</v>
      </c>
      <c r="F554" s="289"/>
      <c r="G554" s="290">
        <v>84</v>
      </c>
      <c r="H554" s="290">
        <v>600</v>
      </c>
      <c r="I554" s="290">
        <v>516</v>
      </c>
      <c r="J554" s="290" t="s">
        <v>15</v>
      </c>
      <c r="K554" s="289"/>
      <c r="L554" s="290"/>
      <c r="M554" s="291"/>
      <c r="N554" s="295" t="s">
        <v>29</v>
      </c>
    </row>
    <row r="555" spans="1:14" ht="14.45" customHeight="1" x14ac:dyDescent="0.2">
      <c r="A555" s="324"/>
      <c r="B555" s="325"/>
      <c r="C555" s="325"/>
      <c r="D555" s="325"/>
      <c r="E555" s="325"/>
      <c r="F555" s="325"/>
      <c r="G555" s="325"/>
      <c r="H555" s="325"/>
      <c r="I555" s="325"/>
      <c r="J555" s="325"/>
      <c r="K555" s="325"/>
      <c r="L555" s="325"/>
      <c r="M555" s="325"/>
      <c r="N555" s="326"/>
    </row>
    <row r="556" spans="1:14" s="117" customFormat="1" x14ac:dyDescent="0.2">
      <c r="A556" s="103">
        <f>A554+1</f>
        <v>504</v>
      </c>
      <c r="B556" s="103"/>
      <c r="C556" s="163" t="s">
        <v>821</v>
      </c>
      <c r="D556" s="163"/>
      <c r="E556" s="219" t="s">
        <v>14</v>
      </c>
      <c r="F556" s="219"/>
      <c r="G556" s="220">
        <f>$H$16+1</f>
        <v>7</v>
      </c>
      <c r="H556" s="220">
        <f>I556+$H$16</f>
        <v>9</v>
      </c>
      <c r="I556" s="220">
        <v>3</v>
      </c>
      <c r="J556" s="220" t="s">
        <v>18</v>
      </c>
      <c r="K556" s="219"/>
      <c r="L556" s="220"/>
      <c r="M556" s="164"/>
      <c r="N556" s="164" t="s">
        <v>822</v>
      </c>
    </row>
    <row r="557" spans="1:14" s="117" customFormat="1" ht="15" x14ac:dyDescent="0.2">
      <c r="A557" s="103">
        <f t="shared" si="150"/>
        <v>505</v>
      </c>
      <c r="B557" s="103"/>
      <c r="C557" s="112"/>
      <c r="D557" s="172"/>
      <c r="E557" s="110">
        <v>99</v>
      </c>
      <c r="F557" s="110"/>
      <c r="G557" s="107">
        <f>H556+1</f>
        <v>10</v>
      </c>
      <c r="H557" s="107">
        <f>H556+I557</f>
        <v>12</v>
      </c>
      <c r="I557" s="111">
        <v>3</v>
      </c>
      <c r="J557" s="111" t="s">
        <v>18</v>
      </c>
      <c r="K557" s="124"/>
      <c r="L557" s="107"/>
      <c r="M557" s="108"/>
      <c r="N557" s="108" t="s">
        <v>268</v>
      </c>
    </row>
    <row r="558" spans="1:14" s="117" customFormat="1" x14ac:dyDescent="0.2">
      <c r="A558" s="103">
        <f t="shared" si="150"/>
        <v>506</v>
      </c>
      <c r="B558" s="103"/>
      <c r="C558" s="112"/>
      <c r="D558" s="112" t="s">
        <v>823</v>
      </c>
      <c r="E558" s="106" t="s">
        <v>824</v>
      </c>
      <c r="F558" s="106"/>
      <c r="G558" s="107">
        <v>13</v>
      </c>
      <c r="H558" s="107">
        <v>18</v>
      </c>
      <c r="I558" s="33">
        <v>6</v>
      </c>
      <c r="J558" s="107" t="s">
        <v>18</v>
      </c>
      <c r="K558" s="106"/>
      <c r="L558" s="107">
        <v>2</v>
      </c>
      <c r="M558" s="108"/>
      <c r="N558" s="108" t="s">
        <v>825</v>
      </c>
    </row>
    <row r="559" spans="1:14" s="117" customFormat="1" x14ac:dyDescent="0.2">
      <c r="A559" s="103">
        <f t="shared" si="150"/>
        <v>507</v>
      </c>
      <c r="B559" s="103"/>
      <c r="C559" s="112"/>
      <c r="D559" s="112" t="s">
        <v>826</v>
      </c>
      <c r="E559" s="106" t="s">
        <v>827</v>
      </c>
      <c r="F559" s="262"/>
      <c r="G559" s="343" t="s">
        <v>828</v>
      </c>
      <c r="H559" s="344"/>
      <c r="I559" s="344"/>
      <c r="J559" s="344"/>
      <c r="K559" s="344"/>
      <c r="L559" s="344"/>
      <c r="M559" s="344"/>
      <c r="N559" s="345"/>
    </row>
    <row r="560" spans="1:14" x14ac:dyDescent="0.2">
      <c r="A560" s="103">
        <f t="shared" si="150"/>
        <v>508</v>
      </c>
      <c r="B560" s="103"/>
      <c r="C560" s="112"/>
      <c r="D560" s="112" t="s">
        <v>829</v>
      </c>
      <c r="E560" s="106" t="s">
        <v>830</v>
      </c>
      <c r="F560" s="106"/>
      <c r="G560" s="107">
        <v>19</v>
      </c>
      <c r="H560" s="107">
        <v>33</v>
      </c>
      <c r="I560" s="107">
        <v>15</v>
      </c>
      <c r="J560" s="107" t="s">
        <v>18</v>
      </c>
      <c r="K560" s="106"/>
      <c r="L560" s="107">
        <v>2</v>
      </c>
      <c r="M560" s="108"/>
      <c r="N560" s="108"/>
    </row>
    <row r="561" spans="1:14" s="117" customFormat="1" ht="15" x14ac:dyDescent="0.2">
      <c r="A561" s="288">
        <f t="shared" si="150"/>
        <v>509</v>
      </c>
      <c r="B561" s="292"/>
      <c r="C561" s="293"/>
      <c r="D561" s="294" t="s">
        <v>28</v>
      </c>
      <c r="E561" s="289" t="s">
        <v>14</v>
      </c>
      <c r="F561" s="289"/>
      <c r="G561" s="290">
        <v>34</v>
      </c>
      <c r="H561" s="290">
        <v>600</v>
      </c>
      <c r="I561" s="290">
        <f>H561-H560</f>
        <v>567</v>
      </c>
      <c r="J561" s="290" t="s">
        <v>15</v>
      </c>
      <c r="K561" s="289"/>
      <c r="L561" s="290"/>
      <c r="M561" s="291"/>
      <c r="N561" s="295" t="s">
        <v>29</v>
      </c>
    </row>
    <row r="562" spans="1:14" ht="14.45" customHeight="1" x14ac:dyDescent="0.2">
      <c r="A562" s="324"/>
      <c r="B562" s="325"/>
      <c r="C562" s="325"/>
      <c r="D562" s="325"/>
      <c r="E562" s="325"/>
      <c r="F562" s="325"/>
      <c r="G562" s="325"/>
      <c r="H562" s="325"/>
      <c r="I562" s="325"/>
      <c r="J562" s="325"/>
      <c r="K562" s="325"/>
      <c r="L562" s="325"/>
      <c r="M562" s="325"/>
      <c r="N562" s="326"/>
    </row>
    <row r="563" spans="1:14" s="117" customFormat="1" x14ac:dyDescent="0.2">
      <c r="A563" s="103">
        <f>A561+1</f>
        <v>510</v>
      </c>
      <c r="B563" s="103"/>
      <c r="C563" s="163" t="s">
        <v>831</v>
      </c>
      <c r="D563" s="163"/>
      <c r="E563" s="219" t="s">
        <v>14</v>
      </c>
      <c r="F563" s="219"/>
      <c r="G563" s="220">
        <f>$H$16+1</f>
        <v>7</v>
      </c>
      <c r="H563" s="220">
        <f>I563+$H$16</f>
        <v>9</v>
      </c>
      <c r="I563" s="220">
        <v>3</v>
      </c>
      <c r="J563" s="220" t="s">
        <v>18</v>
      </c>
      <c r="K563" s="219"/>
      <c r="L563" s="220"/>
      <c r="M563" s="164"/>
      <c r="N563" s="164" t="s">
        <v>832</v>
      </c>
    </row>
    <row r="564" spans="1:14" s="117" customFormat="1" ht="15" x14ac:dyDescent="0.2">
      <c r="A564" s="103">
        <f t="shared" si="150"/>
        <v>511</v>
      </c>
      <c r="B564" s="103"/>
      <c r="C564" s="112"/>
      <c r="D564" s="172" t="s">
        <v>267</v>
      </c>
      <c r="E564" s="110">
        <v>99</v>
      </c>
      <c r="F564" s="110"/>
      <c r="G564" s="107">
        <f t="shared" ref="G564:G574" si="151">H563+1</f>
        <v>10</v>
      </c>
      <c r="H564" s="107">
        <f t="shared" ref="H564:H572" si="152">H563+I564</f>
        <v>12</v>
      </c>
      <c r="I564" s="111">
        <v>3</v>
      </c>
      <c r="J564" s="111" t="s">
        <v>18</v>
      </c>
      <c r="K564" s="124"/>
      <c r="L564" s="107"/>
      <c r="M564" s="108"/>
      <c r="N564" s="108" t="s">
        <v>268</v>
      </c>
    </row>
    <row r="565" spans="1:14" s="117" customFormat="1" ht="38.25" x14ac:dyDescent="0.2">
      <c r="A565" s="103">
        <f t="shared" si="150"/>
        <v>512</v>
      </c>
      <c r="B565" s="103"/>
      <c r="C565" s="112"/>
      <c r="D565" s="112" t="s">
        <v>833</v>
      </c>
      <c r="E565" s="106" t="s">
        <v>834</v>
      </c>
      <c r="F565" s="106"/>
      <c r="G565" s="107">
        <f t="shared" si="151"/>
        <v>13</v>
      </c>
      <c r="H565" s="107">
        <f t="shared" si="152"/>
        <v>27</v>
      </c>
      <c r="I565" s="107">
        <v>15</v>
      </c>
      <c r="J565" s="107" t="s">
        <v>18</v>
      </c>
      <c r="K565" s="106"/>
      <c r="L565" s="107">
        <v>2</v>
      </c>
      <c r="M565" s="108"/>
      <c r="N565" s="108" t="s">
        <v>835</v>
      </c>
    </row>
    <row r="566" spans="1:14" s="117" customFormat="1" ht="25.5" x14ac:dyDescent="0.2">
      <c r="A566" s="103">
        <f t="shared" si="150"/>
        <v>513</v>
      </c>
      <c r="B566" s="103"/>
      <c r="C566" s="112"/>
      <c r="D566" s="112" t="s">
        <v>836</v>
      </c>
      <c r="E566" s="106" t="s">
        <v>837</v>
      </c>
      <c r="F566" s="106"/>
      <c r="G566" s="107">
        <v>28</v>
      </c>
      <c r="H566" s="107">
        <f t="shared" si="152"/>
        <v>34</v>
      </c>
      <c r="I566" s="107">
        <v>7</v>
      </c>
      <c r="J566" s="107" t="s">
        <v>18</v>
      </c>
      <c r="K566" s="106"/>
      <c r="L566" s="107" t="s">
        <v>490</v>
      </c>
      <c r="M566" s="108"/>
      <c r="N566" s="108" t="s">
        <v>838</v>
      </c>
    </row>
    <row r="567" spans="1:14" s="117" customFormat="1" x14ac:dyDescent="0.2">
      <c r="A567" s="103">
        <f t="shared" si="150"/>
        <v>514</v>
      </c>
      <c r="B567" s="103"/>
      <c r="C567" s="112"/>
      <c r="D567" s="112" t="s">
        <v>839</v>
      </c>
      <c r="E567" s="106" t="s">
        <v>840</v>
      </c>
      <c r="F567" s="106"/>
      <c r="G567" s="107">
        <v>35</v>
      </c>
      <c r="H567" s="107">
        <f t="shared" si="152"/>
        <v>41</v>
      </c>
      <c r="I567" s="107">
        <v>7</v>
      </c>
      <c r="J567" s="107" t="s">
        <v>18</v>
      </c>
      <c r="K567" s="106"/>
      <c r="L567" s="107" t="s">
        <v>490</v>
      </c>
      <c r="M567" s="108"/>
      <c r="N567" s="108" t="s">
        <v>841</v>
      </c>
    </row>
    <row r="568" spans="1:14" s="117" customFormat="1" ht="51" x14ac:dyDescent="0.2">
      <c r="A568" s="103">
        <f t="shared" si="150"/>
        <v>515</v>
      </c>
      <c r="B568" s="103"/>
      <c r="C568" s="112"/>
      <c r="D568" s="112" t="s">
        <v>842</v>
      </c>
      <c r="E568" s="106" t="s">
        <v>843</v>
      </c>
      <c r="F568" s="106"/>
      <c r="G568" s="107">
        <f t="shared" si="151"/>
        <v>42</v>
      </c>
      <c r="H568" s="107">
        <f t="shared" si="152"/>
        <v>48</v>
      </c>
      <c r="I568" s="107">
        <v>7</v>
      </c>
      <c r="J568" s="107" t="s">
        <v>18</v>
      </c>
      <c r="K568" s="106"/>
      <c r="L568" s="107" t="s">
        <v>490</v>
      </c>
      <c r="M568" s="108"/>
      <c r="N568" s="108" t="s">
        <v>844</v>
      </c>
    </row>
    <row r="569" spans="1:14" s="117" customFormat="1" ht="63.75" x14ac:dyDescent="0.2">
      <c r="A569" s="103">
        <f t="shared" si="150"/>
        <v>516</v>
      </c>
      <c r="B569" s="103"/>
      <c r="C569" s="112"/>
      <c r="D569" s="112" t="s">
        <v>845</v>
      </c>
      <c r="E569" s="106" t="s">
        <v>846</v>
      </c>
      <c r="F569" s="106"/>
      <c r="G569" s="107">
        <f t="shared" si="151"/>
        <v>49</v>
      </c>
      <c r="H569" s="107">
        <f t="shared" si="152"/>
        <v>55</v>
      </c>
      <c r="I569" s="107">
        <v>7</v>
      </c>
      <c r="J569" s="107" t="s">
        <v>18</v>
      </c>
      <c r="K569" s="106"/>
      <c r="L569" s="107" t="s">
        <v>490</v>
      </c>
      <c r="M569" s="108"/>
      <c r="N569" s="108" t="s">
        <v>847</v>
      </c>
    </row>
    <row r="570" spans="1:14" s="117" customFormat="1" x14ac:dyDescent="0.2">
      <c r="A570" s="103">
        <f t="shared" si="150"/>
        <v>517</v>
      </c>
      <c r="B570" s="103"/>
      <c r="C570" s="112"/>
      <c r="D570" s="112" t="s">
        <v>848</v>
      </c>
      <c r="E570" s="106" t="s">
        <v>849</v>
      </c>
      <c r="F570" s="106"/>
      <c r="G570" s="107">
        <v>56</v>
      </c>
      <c r="H570" s="107">
        <f t="shared" si="152"/>
        <v>70</v>
      </c>
      <c r="I570" s="107">
        <v>15</v>
      </c>
      <c r="J570" s="107" t="s">
        <v>18</v>
      </c>
      <c r="K570" s="106"/>
      <c r="L570" s="107" t="s">
        <v>469</v>
      </c>
      <c r="M570" s="108"/>
      <c r="N570" s="108" t="s">
        <v>850</v>
      </c>
    </row>
    <row r="571" spans="1:14" s="117" customFormat="1" x14ac:dyDescent="0.2">
      <c r="A571" s="103">
        <f t="shared" si="150"/>
        <v>518</v>
      </c>
      <c r="B571" s="103"/>
      <c r="C571" s="112"/>
      <c r="D571" s="112" t="s">
        <v>851</v>
      </c>
      <c r="E571" s="106" t="s">
        <v>852</v>
      </c>
      <c r="F571" s="106"/>
      <c r="G571" s="107">
        <v>71</v>
      </c>
      <c r="H571" s="107">
        <f t="shared" si="152"/>
        <v>85</v>
      </c>
      <c r="I571" s="107">
        <v>15</v>
      </c>
      <c r="J571" s="107" t="s">
        <v>18</v>
      </c>
      <c r="K571" s="106"/>
      <c r="L571" s="107">
        <v>2</v>
      </c>
      <c r="M571" s="108"/>
      <c r="N571" s="108" t="s">
        <v>853</v>
      </c>
    </row>
    <row r="572" spans="1:14" s="117" customFormat="1" ht="25.5" x14ac:dyDescent="0.2">
      <c r="A572" s="103">
        <f t="shared" si="150"/>
        <v>519</v>
      </c>
      <c r="B572" s="103"/>
      <c r="C572" s="112"/>
      <c r="D572" s="112" t="s">
        <v>854</v>
      </c>
      <c r="E572" s="106" t="s">
        <v>855</v>
      </c>
      <c r="F572" s="106"/>
      <c r="G572" s="107">
        <f t="shared" si="151"/>
        <v>86</v>
      </c>
      <c r="H572" s="107">
        <f t="shared" si="152"/>
        <v>100</v>
      </c>
      <c r="I572" s="107">
        <v>15</v>
      </c>
      <c r="J572" s="107" t="s">
        <v>18</v>
      </c>
      <c r="K572" s="106"/>
      <c r="L572" s="107">
        <v>2</v>
      </c>
      <c r="M572" s="108"/>
      <c r="N572" s="108" t="s">
        <v>856</v>
      </c>
    </row>
    <row r="573" spans="1:14" x14ac:dyDescent="0.2">
      <c r="A573" s="103">
        <f t="shared" si="150"/>
        <v>520</v>
      </c>
      <c r="B573" s="103"/>
      <c r="C573" s="112"/>
      <c r="D573" s="112" t="s">
        <v>857</v>
      </c>
      <c r="E573" s="106" t="s">
        <v>858</v>
      </c>
      <c r="F573" s="106"/>
      <c r="G573" s="107">
        <f t="shared" si="151"/>
        <v>101</v>
      </c>
      <c r="H573" s="107">
        <f t="shared" ref="H573" si="153">H572+I573</f>
        <v>115</v>
      </c>
      <c r="I573" s="107">
        <v>15</v>
      </c>
      <c r="J573" s="107" t="s">
        <v>18</v>
      </c>
      <c r="K573" s="106"/>
      <c r="L573" s="107">
        <v>2</v>
      </c>
      <c r="M573" s="108"/>
      <c r="N573" s="108" t="s">
        <v>859</v>
      </c>
    </row>
    <row r="574" spans="1:14" s="117" customFormat="1" ht="15" x14ac:dyDescent="0.2">
      <c r="A574" s="288">
        <f t="shared" si="150"/>
        <v>521</v>
      </c>
      <c r="B574" s="292"/>
      <c r="C574" s="293"/>
      <c r="D574" s="294" t="s">
        <v>28</v>
      </c>
      <c r="E574" s="289" t="s">
        <v>14</v>
      </c>
      <c r="F574" s="289"/>
      <c r="G574" s="290">
        <f t="shared" si="151"/>
        <v>116</v>
      </c>
      <c r="H574" s="290">
        <v>600</v>
      </c>
      <c r="I574" s="290">
        <f>H574-H573</f>
        <v>485</v>
      </c>
      <c r="J574" s="290" t="s">
        <v>15</v>
      </c>
      <c r="K574" s="289"/>
      <c r="L574" s="290"/>
      <c r="M574" s="291"/>
      <c r="N574" s="295" t="s">
        <v>29</v>
      </c>
    </row>
    <row r="575" spans="1:14" ht="14.45" customHeight="1" x14ac:dyDescent="0.2">
      <c r="A575" s="324"/>
      <c r="B575" s="325"/>
      <c r="C575" s="325"/>
      <c r="D575" s="325"/>
      <c r="E575" s="325"/>
      <c r="F575" s="325"/>
      <c r="G575" s="325"/>
      <c r="H575" s="325"/>
      <c r="I575" s="325"/>
      <c r="J575" s="325"/>
      <c r="K575" s="325"/>
      <c r="L575" s="325"/>
      <c r="M575" s="325"/>
      <c r="N575" s="326"/>
    </row>
    <row r="576" spans="1:14" s="117" customFormat="1" x14ac:dyDescent="0.2">
      <c r="A576" s="103">
        <f>A574+1</f>
        <v>522</v>
      </c>
      <c r="B576" s="103"/>
      <c r="C576" s="163" t="s">
        <v>860</v>
      </c>
      <c r="D576" s="163"/>
      <c r="E576" s="219" t="s">
        <v>14</v>
      </c>
      <c r="F576" s="219"/>
      <c r="G576" s="220">
        <f>$H$16+1</f>
        <v>7</v>
      </c>
      <c r="H576" s="220">
        <f>I576+$H$16</f>
        <v>9</v>
      </c>
      <c r="I576" s="220">
        <v>3</v>
      </c>
      <c r="J576" s="220" t="s">
        <v>18</v>
      </c>
      <c r="K576" s="219"/>
      <c r="L576" s="220"/>
      <c r="M576" s="164"/>
      <c r="N576" s="164" t="s">
        <v>1623</v>
      </c>
    </row>
    <row r="577" spans="1:101" s="117" customFormat="1" ht="15" x14ac:dyDescent="0.2">
      <c r="A577" s="103">
        <f t="shared" si="150"/>
        <v>523</v>
      </c>
      <c r="B577" s="103"/>
      <c r="C577" s="112"/>
      <c r="D577" s="172" t="s">
        <v>267</v>
      </c>
      <c r="E577" s="110">
        <v>99</v>
      </c>
      <c r="F577" s="110"/>
      <c r="G577" s="107">
        <f>H576+1</f>
        <v>10</v>
      </c>
      <c r="H577" s="107">
        <f>H576+I577</f>
        <v>12</v>
      </c>
      <c r="I577" s="111">
        <v>3</v>
      </c>
      <c r="J577" s="111" t="s">
        <v>18</v>
      </c>
      <c r="K577" s="124"/>
      <c r="L577" s="107"/>
      <c r="M577" s="108"/>
      <c r="N577" s="108" t="s">
        <v>268</v>
      </c>
    </row>
    <row r="578" spans="1:101" s="117" customFormat="1" ht="12.75" customHeight="1" x14ac:dyDescent="0.2">
      <c r="A578" s="103">
        <f t="shared" si="150"/>
        <v>524</v>
      </c>
      <c r="B578" s="103"/>
      <c r="C578" s="112"/>
      <c r="D578" s="112" t="s">
        <v>861</v>
      </c>
      <c r="E578" s="106" t="s">
        <v>862</v>
      </c>
      <c r="F578" s="106"/>
      <c r="G578" s="107">
        <f t="shared" ref="G578:G581" si="154">H577+1</f>
        <v>13</v>
      </c>
      <c r="H578" s="107">
        <f t="shared" ref="H578:H580" si="155">H577+I578</f>
        <v>32</v>
      </c>
      <c r="I578" s="107">
        <v>20</v>
      </c>
      <c r="J578" s="107" t="s">
        <v>15</v>
      </c>
      <c r="K578" s="106"/>
      <c r="L578" s="107"/>
      <c r="M578" s="108"/>
      <c r="N578" s="108"/>
    </row>
    <row r="579" spans="1:101" s="117" customFormat="1" x14ac:dyDescent="0.2">
      <c r="A579" s="103">
        <f t="shared" si="150"/>
        <v>525</v>
      </c>
      <c r="B579" s="103"/>
      <c r="C579" s="112"/>
      <c r="D579" s="112" t="s">
        <v>863</v>
      </c>
      <c r="E579" s="106" t="s">
        <v>864</v>
      </c>
      <c r="F579" s="106"/>
      <c r="G579" s="107">
        <f t="shared" si="154"/>
        <v>33</v>
      </c>
      <c r="H579" s="107">
        <f t="shared" si="155"/>
        <v>43</v>
      </c>
      <c r="I579" s="107">
        <v>11</v>
      </c>
      <c r="J579" s="107" t="s">
        <v>18</v>
      </c>
      <c r="K579" s="106"/>
      <c r="L579" s="107"/>
      <c r="M579" s="108"/>
      <c r="N579" s="108"/>
    </row>
    <row r="580" spans="1:101" s="117" customFormat="1" x14ac:dyDescent="0.2">
      <c r="A580" s="103">
        <f t="shared" si="150"/>
        <v>526</v>
      </c>
      <c r="B580" s="103"/>
      <c r="C580" s="112"/>
      <c r="D580" s="112" t="s">
        <v>865</v>
      </c>
      <c r="E580" s="106" t="s">
        <v>866</v>
      </c>
      <c r="F580" s="106"/>
      <c r="G580" s="107">
        <f t="shared" si="154"/>
        <v>44</v>
      </c>
      <c r="H580" s="107">
        <f t="shared" si="155"/>
        <v>53</v>
      </c>
      <c r="I580" s="107">
        <v>10</v>
      </c>
      <c r="J580" s="107" t="s">
        <v>106</v>
      </c>
      <c r="K580" s="106"/>
      <c r="L580" s="107"/>
      <c r="M580" s="108"/>
      <c r="N580" s="108" t="s">
        <v>867</v>
      </c>
    </row>
    <row r="581" spans="1:101" s="117" customFormat="1" x14ac:dyDescent="0.2">
      <c r="A581" s="103">
        <f t="shared" si="150"/>
        <v>527</v>
      </c>
      <c r="B581" s="103"/>
      <c r="C581" s="112"/>
      <c r="D581" s="112" t="s">
        <v>868</v>
      </c>
      <c r="E581" s="106" t="s">
        <v>869</v>
      </c>
      <c r="F581" s="106"/>
      <c r="G581" s="107">
        <f t="shared" si="154"/>
        <v>54</v>
      </c>
      <c r="H581" s="107">
        <f t="shared" ref="H581" si="156">H580+I581</f>
        <v>63</v>
      </c>
      <c r="I581" s="107">
        <v>10</v>
      </c>
      <c r="J581" s="107" t="s">
        <v>106</v>
      </c>
      <c r="K581" s="106"/>
      <c r="L581" s="107"/>
      <c r="M581" s="108"/>
      <c r="N581" s="108" t="s">
        <v>870</v>
      </c>
    </row>
    <row r="582" spans="1:101" x14ac:dyDescent="0.2">
      <c r="A582" s="103">
        <f t="shared" si="150"/>
        <v>528</v>
      </c>
      <c r="B582" s="103"/>
      <c r="C582" s="112"/>
      <c r="D582" s="112" t="s">
        <v>871</v>
      </c>
      <c r="E582" s="106" t="s">
        <v>872</v>
      </c>
      <c r="F582" s="106"/>
      <c r="G582" s="107">
        <f t="shared" ref="G582" si="157">H581+1</f>
        <v>64</v>
      </c>
      <c r="H582" s="107">
        <f t="shared" ref="H582" si="158">H581+I582</f>
        <v>83</v>
      </c>
      <c r="I582" s="107">
        <v>20</v>
      </c>
      <c r="J582" s="107" t="s">
        <v>15</v>
      </c>
      <c r="K582" s="106"/>
      <c r="L582" s="107"/>
      <c r="M582" s="108"/>
      <c r="N582" s="108"/>
    </row>
    <row r="583" spans="1:101" s="117" customFormat="1" ht="15" x14ac:dyDescent="0.2">
      <c r="A583" s="288">
        <f t="shared" si="150"/>
        <v>529</v>
      </c>
      <c r="B583" s="292"/>
      <c r="C583" s="293"/>
      <c r="D583" s="294" t="s">
        <v>28</v>
      </c>
      <c r="E583" s="289" t="s">
        <v>14</v>
      </c>
      <c r="F583" s="289"/>
      <c r="G583" s="290">
        <v>84</v>
      </c>
      <c r="H583" s="290">
        <v>600</v>
      </c>
      <c r="I583" s="290">
        <f>H583-H582</f>
        <v>517</v>
      </c>
      <c r="J583" s="290" t="s">
        <v>15</v>
      </c>
      <c r="K583" s="289"/>
      <c r="L583" s="290"/>
      <c r="M583" s="291"/>
      <c r="N583" s="295" t="s">
        <v>29</v>
      </c>
    </row>
    <row r="584" spans="1:101" ht="14.45" customHeight="1" x14ac:dyDescent="0.2">
      <c r="A584" s="324"/>
      <c r="B584" s="325"/>
      <c r="C584" s="325"/>
      <c r="D584" s="325"/>
      <c r="E584" s="325"/>
      <c r="F584" s="325"/>
      <c r="G584" s="325"/>
      <c r="H584" s="325"/>
      <c r="I584" s="325"/>
      <c r="J584" s="325"/>
      <c r="K584" s="325"/>
      <c r="L584" s="325"/>
      <c r="M584" s="325"/>
      <c r="N584" s="326"/>
    </row>
    <row r="585" spans="1:101" s="279" customFormat="1" x14ac:dyDescent="0.2">
      <c r="A585" s="249">
        <f>A583+1</f>
        <v>530</v>
      </c>
      <c r="B585" s="249" t="s">
        <v>2127</v>
      </c>
      <c r="C585" s="232" t="s">
        <v>1861</v>
      </c>
      <c r="D585" s="232"/>
      <c r="E585" s="283" t="s">
        <v>14</v>
      </c>
      <c r="F585" s="283" t="s">
        <v>2132</v>
      </c>
      <c r="G585" s="284">
        <v>7</v>
      </c>
      <c r="H585" s="284">
        <v>9</v>
      </c>
      <c r="I585" s="284">
        <v>3</v>
      </c>
      <c r="J585" s="284" t="s">
        <v>18</v>
      </c>
      <c r="K585" s="283"/>
      <c r="L585" s="284"/>
      <c r="M585" s="186"/>
      <c r="N585" s="285" t="s">
        <v>1625</v>
      </c>
      <c r="O585" s="117"/>
      <c r="P585" s="117"/>
      <c r="Q585" s="117"/>
      <c r="R585" s="117"/>
      <c r="S585" s="117"/>
      <c r="T585" s="117"/>
      <c r="U585" s="117"/>
      <c r="V585" s="117"/>
      <c r="W585" s="117"/>
      <c r="X585" s="117"/>
      <c r="Y585" s="117"/>
      <c r="Z585" s="117"/>
      <c r="AA585" s="117"/>
      <c r="AB585" s="117"/>
      <c r="AC585" s="117"/>
      <c r="AD585" s="117"/>
      <c r="AE585" s="117"/>
      <c r="AF585" s="117"/>
      <c r="AG585" s="117"/>
      <c r="AH585" s="117"/>
      <c r="AI585" s="117"/>
      <c r="AJ585" s="117"/>
      <c r="AK585" s="117"/>
      <c r="AL585" s="117"/>
      <c r="AM585" s="117"/>
      <c r="AN585" s="117"/>
      <c r="AO585" s="117"/>
      <c r="AP585" s="117"/>
      <c r="AQ585" s="117"/>
      <c r="AR585" s="117"/>
      <c r="AS585" s="117"/>
      <c r="AT585" s="117"/>
      <c r="AU585" s="117"/>
      <c r="AV585" s="117"/>
      <c r="AW585" s="117"/>
      <c r="AX585" s="117"/>
      <c r="AY585" s="117"/>
      <c r="AZ585" s="117"/>
      <c r="BA585" s="117"/>
      <c r="BB585" s="117"/>
      <c r="BC585" s="117"/>
      <c r="BD585" s="117"/>
      <c r="BE585" s="117"/>
      <c r="BF585" s="117"/>
      <c r="BG585" s="117"/>
      <c r="BH585" s="117"/>
      <c r="BI585" s="117"/>
      <c r="BJ585" s="117"/>
      <c r="BK585" s="117"/>
      <c r="BL585" s="117"/>
      <c r="BM585" s="117"/>
      <c r="BN585" s="117"/>
      <c r="BO585" s="117"/>
      <c r="BP585" s="117"/>
      <c r="BQ585" s="117"/>
      <c r="BR585" s="117"/>
      <c r="BS585" s="117"/>
      <c r="BT585" s="117"/>
      <c r="BU585" s="117"/>
      <c r="BV585" s="117"/>
      <c r="BW585" s="117"/>
      <c r="BX585" s="117"/>
      <c r="BY585" s="117"/>
      <c r="BZ585" s="117"/>
      <c r="CA585" s="117"/>
      <c r="CB585" s="117"/>
      <c r="CC585" s="117"/>
      <c r="CD585" s="117"/>
      <c r="CE585" s="117"/>
      <c r="CF585" s="117"/>
      <c r="CG585" s="117"/>
      <c r="CH585" s="117"/>
      <c r="CI585" s="117"/>
      <c r="CJ585" s="117"/>
      <c r="CK585" s="117"/>
      <c r="CL585" s="117"/>
      <c r="CM585" s="117"/>
      <c r="CN585" s="117"/>
      <c r="CO585" s="117"/>
      <c r="CP585" s="117"/>
      <c r="CQ585" s="117"/>
      <c r="CR585" s="117"/>
      <c r="CS585" s="117"/>
      <c r="CT585" s="117"/>
      <c r="CU585" s="117"/>
      <c r="CV585" s="117"/>
      <c r="CW585" s="117"/>
    </row>
    <row r="586" spans="1:101" s="279" customFormat="1" x14ac:dyDescent="0.2">
      <c r="A586" s="249">
        <v>531</v>
      </c>
      <c r="B586" s="249"/>
      <c r="C586" s="232"/>
      <c r="D586" s="172" t="s">
        <v>267</v>
      </c>
      <c r="E586" s="283">
        <v>99</v>
      </c>
      <c r="F586" s="283"/>
      <c r="G586" s="284">
        <v>10</v>
      </c>
      <c r="H586" s="284">
        <v>12</v>
      </c>
      <c r="I586" s="284">
        <v>3</v>
      </c>
      <c r="J586" s="284" t="s">
        <v>18</v>
      </c>
      <c r="K586" s="283"/>
      <c r="L586" s="284"/>
      <c r="M586" s="186"/>
      <c r="N586" s="186" t="s">
        <v>268</v>
      </c>
      <c r="O586" s="117"/>
      <c r="P586" s="117"/>
      <c r="Q586" s="117"/>
      <c r="R586" s="117"/>
      <c r="S586" s="117"/>
      <c r="T586" s="117"/>
      <c r="U586" s="117"/>
      <c r="V586" s="117"/>
      <c r="W586" s="117"/>
      <c r="X586" s="117"/>
      <c r="Y586" s="117"/>
      <c r="Z586" s="117"/>
      <c r="AA586" s="117"/>
      <c r="AB586" s="117"/>
      <c r="AC586" s="117"/>
      <c r="AD586" s="117"/>
      <c r="AE586" s="117"/>
      <c r="AF586" s="117"/>
      <c r="AG586" s="117"/>
      <c r="AH586" s="117"/>
      <c r="AI586" s="117"/>
      <c r="AJ586" s="117"/>
      <c r="AK586" s="117"/>
      <c r="AL586" s="117"/>
      <c r="AM586" s="117"/>
      <c r="AN586" s="117"/>
      <c r="AO586" s="117"/>
      <c r="AP586" s="117"/>
      <c r="AQ586" s="117"/>
      <c r="AR586" s="117"/>
      <c r="AS586" s="117"/>
      <c r="AT586" s="117"/>
      <c r="AU586" s="117"/>
      <c r="AV586" s="117"/>
      <c r="AW586" s="117"/>
      <c r="AX586" s="117"/>
      <c r="AY586" s="117"/>
      <c r="AZ586" s="117"/>
      <c r="BA586" s="117"/>
      <c r="BB586" s="117"/>
      <c r="BC586" s="117"/>
      <c r="BD586" s="117"/>
      <c r="BE586" s="117"/>
      <c r="BF586" s="117"/>
      <c r="BG586" s="117"/>
      <c r="BH586" s="117"/>
      <c r="BI586" s="117"/>
      <c r="BJ586" s="117"/>
      <c r="BK586" s="117"/>
      <c r="BL586" s="117"/>
      <c r="BM586" s="117"/>
      <c r="BN586" s="117"/>
      <c r="BO586" s="117"/>
      <c r="BP586" s="117"/>
      <c r="BQ586" s="117"/>
      <c r="BR586" s="117"/>
      <c r="BS586" s="117"/>
      <c r="BT586" s="117"/>
      <c r="BU586" s="117"/>
      <c r="BV586" s="117"/>
      <c r="BW586" s="117"/>
      <c r="BX586" s="117"/>
      <c r="BY586" s="117"/>
      <c r="BZ586" s="117"/>
      <c r="CA586" s="117"/>
      <c r="CB586" s="117"/>
      <c r="CC586" s="117"/>
      <c r="CD586" s="117"/>
      <c r="CE586" s="117"/>
      <c r="CF586" s="117"/>
      <c r="CG586" s="117"/>
      <c r="CH586" s="117"/>
      <c r="CI586" s="117"/>
      <c r="CJ586" s="117"/>
      <c r="CK586" s="117"/>
      <c r="CL586" s="117"/>
      <c r="CM586" s="117"/>
      <c r="CN586" s="117"/>
      <c r="CO586" s="117"/>
      <c r="CP586" s="117"/>
      <c r="CQ586" s="117"/>
      <c r="CR586" s="117"/>
      <c r="CS586" s="117"/>
      <c r="CT586" s="117"/>
      <c r="CU586" s="117"/>
      <c r="CV586" s="117"/>
      <c r="CW586" s="117"/>
    </row>
    <row r="587" spans="1:101" s="279" customFormat="1" x14ac:dyDescent="0.2">
      <c r="A587" s="249">
        <v>532</v>
      </c>
      <c r="B587" s="249" t="s">
        <v>2128</v>
      </c>
      <c r="C587" s="232" t="s">
        <v>2130</v>
      </c>
      <c r="D587" s="232" t="s">
        <v>1862</v>
      </c>
      <c r="E587" s="283" t="s">
        <v>1863</v>
      </c>
      <c r="F587" s="283"/>
      <c r="G587" s="284">
        <f>H586+1</f>
        <v>13</v>
      </c>
      <c r="H587" s="284">
        <f>H586+I587</f>
        <v>56</v>
      </c>
      <c r="I587" s="284">
        <v>44</v>
      </c>
      <c r="J587" s="284"/>
      <c r="K587" s="283"/>
      <c r="L587" s="284"/>
      <c r="M587" s="186"/>
      <c r="N587" s="285"/>
      <c r="O587" s="117"/>
      <c r="P587" s="117"/>
      <c r="Q587" s="117"/>
      <c r="R587" s="117"/>
      <c r="S587" s="117"/>
      <c r="T587" s="117"/>
      <c r="U587" s="117"/>
      <c r="V587" s="117"/>
      <c r="W587" s="117"/>
      <c r="X587" s="117"/>
      <c r="Y587" s="117"/>
      <c r="Z587" s="117"/>
      <c r="AA587" s="117"/>
      <c r="AB587" s="117"/>
      <c r="AC587" s="117"/>
      <c r="AD587" s="117"/>
      <c r="AE587" s="117"/>
      <c r="AF587" s="117"/>
      <c r="AG587" s="117"/>
      <c r="AH587" s="117"/>
      <c r="AI587" s="117"/>
      <c r="AJ587" s="117"/>
      <c r="AK587" s="117"/>
      <c r="AL587" s="117"/>
      <c r="AM587" s="117"/>
      <c r="AN587" s="117"/>
      <c r="AO587" s="117"/>
      <c r="AP587" s="117"/>
      <c r="AQ587" s="117"/>
      <c r="AR587" s="117"/>
      <c r="AS587" s="117"/>
      <c r="AT587" s="117"/>
      <c r="AU587" s="117"/>
      <c r="AV587" s="117"/>
      <c r="AW587" s="117"/>
      <c r="AX587" s="117"/>
      <c r="AY587" s="117"/>
      <c r="AZ587" s="117"/>
      <c r="BA587" s="117"/>
      <c r="BB587" s="117"/>
      <c r="BC587" s="117"/>
      <c r="BD587" s="117"/>
      <c r="BE587" s="117"/>
      <c r="BF587" s="117"/>
      <c r="BG587" s="117"/>
      <c r="BH587" s="117"/>
      <c r="BI587" s="117"/>
      <c r="BJ587" s="117"/>
      <c r="BK587" s="117"/>
      <c r="BL587" s="117"/>
      <c r="BM587" s="117"/>
      <c r="BN587" s="117"/>
      <c r="BO587" s="117"/>
      <c r="BP587" s="117"/>
      <c r="BQ587" s="117"/>
      <c r="BR587" s="117"/>
      <c r="BS587" s="117"/>
      <c r="BT587" s="117"/>
      <c r="BU587" s="117"/>
      <c r="BV587" s="117"/>
      <c r="BW587" s="117"/>
      <c r="BX587" s="117"/>
      <c r="BY587" s="117"/>
      <c r="BZ587" s="117"/>
      <c r="CA587" s="117"/>
      <c r="CB587" s="117"/>
      <c r="CC587" s="117"/>
      <c r="CD587" s="117"/>
      <c r="CE587" s="117"/>
      <c r="CF587" s="117"/>
      <c r="CG587" s="117"/>
      <c r="CH587" s="117"/>
      <c r="CI587" s="117"/>
      <c r="CJ587" s="117"/>
      <c r="CK587" s="117"/>
      <c r="CL587" s="117"/>
      <c r="CM587" s="117"/>
      <c r="CN587" s="117"/>
      <c r="CO587" s="117"/>
      <c r="CP587" s="117"/>
      <c r="CQ587" s="117"/>
      <c r="CR587" s="117"/>
      <c r="CS587" s="117"/>
      <c r="CT587" s="117"/>
      <c r="CU587" s="117"/>
      <c r="CV587" s="117"/>
      <c r="CW587" s="117"/>
    </row>
    <row r="588" spans="1:101" x14ac:dyDescent="0.2">
      <c r="A588" s="249">
        <f t="shared" ref="A588:A589" si="159">A586+1</f>
        <v>532</v>
      </c>
      <c r="B588" s="249" t="s">
        <v>2129</v>
      </c>
      <c r="C588" s="232" t="s">
        <v>2131</v>
      </c>
      <c r="D588" s="232" t="s">
        <v>1864</v>
      </c>
      <c r="E588" s="283" t="s">
        <v>1865</v>
      </c>
      <c r="F588" s="283"/>
      <c r="G588" s="284">
        <f>H587+1</f>
        <v>57</v>
      </c>
      <c r="H588" s="284">
        <f>H587+I588</f>
        <v>59</v>
      </c>
      <c r="I588" s="284">
        <v>3</v>
      </c>
      <c r="J588" s="284"/>
      <c r="K588" s="283"/>
      <c r="L588" s="284"/>
      <c r="M588" s="186"/>
      <c r="N588" s="285"/>
    </row>
    <row r="589" spans="1:101" s="117" customFormat="1" ht="15" x14ac:dyDescent="0.2">
      <c r="A589" s="288">
        <f t="shared" si="159"/>
        <v>533</v>
      </c>
      <c r="B589" s="292"/>
      <c r="C589" s="293"/>
      <c r="D589" s="294" t="s">
        <v>28</v>
      </c>
      <c r="E589" s="289" t="s">
        <v>14</v>
      </c>
      <c r="F589" s="289"/>
      <c r="G589" s="290">
        <f>+H588+1</f>
        <v>60</v>
      </c>
      <c r="H589" s="290">
        <v>600</v>
      </c>
      <c r="I589" s="290">
        <f>H589-H588</f>
        <v>541</v>
      </c>
      <c r="J589" s="290" t="s">
        <v>15</v>
      </c>
      <c r="K589" s="289"/>
      <c r="L589" s="290"/>
      <c r="M589" s="291"/>
      <c r="N589" s="295" t="s">
        <v>29</v>
      </c>
    </row>
    <row r="590" spans="1:101" ht="14.45" customHeight="1" x14ac:dyDescent="0.2">
      <c r="A590" s="324"/>
      <c r="B590" s="325"/>
      <c r="C590" s="325"/>
      <c r="D590" s="325"/>
      <c r="E590" s="325"/>
      <c r="F590" s="325"/>
      <c r="G590" s="325"/>
      <c r="H590" s="325"/>
      <c r="I590" s="325"/>
      <c r="J590" s="325"/>
      <c r="K590" s="325"/>
      <c r="L590" s="325"/>
      <c r="M590" s="325"/>
      <c r="N590" s="326"/>
    </row>
    <row r="591" spans="1:101" s="279" customFormat="1" x14ac:dyDescent="0.2">
      <c r="A591" s="249">
        <f>A589+1</f>
        <v>534</v>
      </c>
      <c r="B591" s="249" t="s">
        <v>2106</v>
      </c>
      <c r="C591" s="232" t="s">
        <v>1866</v>
      </c>
      <c r="D591" s="232"/>
      <c r="E591" s="283" t="s">
        <v>14</v>
      </c>
      <c r="F591" s="283" t="s">
        <v>2133</v>
      </c>
      <c r="G591" s="284">
        <v>7</v>
      </c>
      <c r="H591" s="284">
        <v>9</v>
      </c>
      <c r="I591" s="284">
        <v>3</v>
      </c>
      <c r="J591" s="284" t="s">
        <v>18</v>
      </c>
      <c r="K591" s="283"/>
      <c r="L591" s="284"/>
      <c r="M591" s="186"/>
      <c r="N591" s="285" t="s">
        <v>1624</v>
      </c>
      <c r="O591" s="117"/>
      <c r="P591" s="117"/>
      <c r="Q591" s="117"/>
      <c r="R591" s="117"/>
      <c r="S591" s="117"/>
      <c r="T591" s="117"/>
      <c r="U591" s="117"/>
      <c r="V591" s="117"/>
      <c r="W591" s="117"/>
      <c r="X591" s="117"/>
      <c r="Y591" s="117"/>
      <c r="Z591" s="117"/>
      <c r="AA591" s="117"/>
      <c r="AB591" s="117"/>
      <c r="AC591" s="117"/>
      <c r="AD591" s="117"/>
      <c r="AE591" s="117"/>
      <c r="AF591" s="117"/>
      <c r="AG591" s="117"/>
      <c r="AH591" s="117"/>
      <c r="AI591" s="117"/>
      <c r="AJ591" s="117"/>
      <c r="AK591" s="117"/>
      <c r="AL591" s="117"/>
      <c r="AM591" s="117"/>
      <c r="AN591" s="117"/>
      <c r="AO591" s="117"/>
      <c r="AP591" s="117"/>
      <c r="AQ591" s="117"/>
      <c r="AR591" s="117"/>
      <c r="AS591" s="117"/>
      <c r="AT591" s="117"/>
      <c r="AU591" s="117"/>
      <c r="AV591" s="117"/>
      <c r="AW591" s="117"/>
      <c r="AX591" s="117"/>
      <c r="AY591" s="117"/>
      <c r="AZ591" s="117"/>
      <c r="BA591" s="117"/>
      <c r="BB591" s="117"/>
      <c r="BC591" s="117"/>
      <c r="BD591" s="117"/>
      <c r="BE591" s="117"/>
      <c r="BF591" s="117"/>
      <c r="BG591" s="117"/>
      <c r="BH591" s="117"/>
      <c r="BI591" s="117"/>
      <c r="BJ591" s="117"/>
      <c r="BK591" s="117"/>
      <c r="BL591" s="117"/>
      <c r="BM591" s="117"/>
      <c r="BN591" s="117"/>
      <c r="BO591" s="117"/>
      <c r="BP591" s="117"/>
      <c r="BQ591" s="117"/>
      <c r="BR591" s="117"/>
      <c r="BS591" s="117"/>
      <c r="BT591" s="117"/>
      <c r="BU591" s="117"/>
      <c r="BV591" s="117"/>
      <c r="BW591" s="117"/>
      <c r="BX591" s="117"/>
      <c r="BY591" s="117"/>
      <c r="BZ591" s="117"/>
      <c r="CA591" s="117"/>
      <c r="CB591" s="117"/>
      <c r="CC591" s="117"/>
      <c r="CD591" s="117"/>
      <c r="CE591" s="117"/>
      <c r="CF591" s="117"/>
      <c r="CG591" s="117"/>
      <c r="CH591" s="117"/>
      <c r="CI591" s="117"/>
      <c r="CJ591" s="117"/>
      <c r="CK591" s="117"/>
      <c r="CL591" s="117"/>
      <c r="CM591" s="117"/>
      <c r="CN591" s="117"/>
      <c r="CO591" s="117"/>
      <c r="CP591" s="117"/>
      <c r="CQ591" s="117"/>
      <c r="CR591" s="117"/>
      <c r="CS591" s="117"/>
      <c r="CT591" s="117"/>
      <c r="CU591" s="117"/>
      <c r="CV591" s="117"/>
      <c r="CW591" s="117"/>
    </row>
    <row r="592" spans="1:101" s="279" customFormat="1" x14ac:dyDescent="0.2">
      <c r="A592" s="249">
        <f t="shared" ref="A592:A601" si="160">A591+1</f>
        <v>535</v>
      </c>
      <c r="B592" s="249"/>
      <c r="C592" s="232"/>
      <c r="D592" s="172" t="s">
        <v>267</v>
      </c>
      <c r="E592" s="283">
        <v>99</v>
      </c>
      <c r="F592" s="283"/>
      <c r="G592" s="284">
        <v>10</v>
      </c>
      <c r="H592" s="284">
        <v>12</v>
      </c>
      <c r="I592" s="284">
        <v>3</v>
      </c>
      <c r="J592" s="284" t="s">
        <v>18</v>
      </c>
      <c r="K592" s="283"/>
      <c r="L592" s="284"/>
      <c r="M592" s="186"/>
      <c r="N592" s="186" t="s">
        <v>268</v>
      </c>
      <c r="O592" s="117"/>
      <c r="P592" s="117"/>
      <c r="Q592" s="117"/>
      <c r="R592" s="117"/>
      <c r="S592" s="117"/>
      <c r="T592" s="117"/>
      <c r="U592" s="117"/>
      <c r="V592" s="117"/>
      <c r="W592" s="117"/>
      <c r="X592" s="117"/>
      <c r="Y592" s="117"/>
      <c r="Z592" s="117"/>
      <c r="AA592" s="117"/>
      <c r="AB592" s="117"/>
      <c r="AC592" s="117"/>
      <c r="AD592" s="117"/>
      <c r="AE592" s="117"/>
      <c r="AF592" s="117"/>
      <c r="AG592" s="117"/>
      <c r="AH592" s="117"/>
      <c r="AI592" s="117"/>
      <c r="AJ592" s="117"/>
      <c r="AK592" s="117"/>
      <c r="AL592" s="117"/>
      <c r="AM592" s="117"/>
      <c r="AN592" s="117"/>
      <c r="AO592" s="117"/>
      <c r="AP592" s="117"/>
      <c r="AQ592" s="117"/>
      <c r="AR592" s="117"/>
      <c r="AS592" s="117"/>
      <c r="AT592" s="117"/>
      <c r="AU592" s="117"/>
      <c r="AV592" s="117"/>
      <c r="AW592" s="117"/>
      <c r="AX592" s="117"/>
      <c r="AY592" s="117"/>
      <c r="AZ592" s="117"/>
      <c r="BA592" s="117"/>
      <c r="BB592" s="117"/>
      <c r="BC592" s="117"/>
      <c r="BD592" s="117"/>
      <c r="BE592" s="117"/>
      <c r="BF592" s="117"/>
      <c r="BG592" s="117"/>
      <c r="BH592" s="117"/>
      <c r="BI592" s="117"/>
      <c r="BJ592" s="117"/>
      <c r="BK592" s="117"/>
      <c r="BL592" s="117"/>
      <c r="BM592" s="117"/>
      <c r="BN592" s="117"/>
      <c r="BO592" s="117"/>
      <c r="BP592" s="117"/>
      <c r="BQ592" s="117"/>
      <c r="BR592" s="117"/>
      <c r="BS592" s="117"/>
      <c r="BT592" s="117"/>
      <c r="BU592" s="117"/>
      <c r="BV592" s="117"/>
      <c r="BW592" s="117"/>
      <c r="BX592" s="117"/>
      <c r="BY592" s="117"/>
      <c r="BZ592" s="117"/>
      <c r="CA592" s="117"/>
      <c r="CB592" s="117"/>
      <c r="CC592" s="117"/>
      <c r="CD592" s="117"/>
      <c r="CE592" s="117"/>
      <c r="CF592" s="117"/>
      <c r="CG592" s="117"/>
      <c r="CH592" s="117"/>
      <c r="CI592" s="117"/>
      <c r="CJ592" s="117"/>
      <c r="CK592" s="117"/>
      <c r="CL592" s="117"/>
      <c r="CM592" s="117"/>
      <c r="CN592" s="117"/>
      <c r="CO592" s="117"/>
      <c r="CP592" s="117"/>
      <c r="CQ592" s="117"/>
      <c r="CR592" s="117"/>
      <c r="CS592" s="117"/>
      <c r="CT592" s="117"/>
      <c r="CU592" s="117"/>
      <c r="CV592" s="117"/>
      <c r="CW592" s="117"/>
    </row>
    <row r="593" spans="1:101" s="279" customFormat="1" x14ac:dyDescent="0.2">
      <c r="A593" s="249">
        <f t="shared" si="160"/>
        <v>536</v>
      </c>
      <c r="B593" s="249" t="s">
        <v>2102</v>
      </c>
      <c r="C593" s="232" t="s">
        <v>2103</v>
      </c>
      <c r="D593" s="232" t="s">
        <v>1683</v>
      </c>
      <c r="E593" s="283" t="s">
        <v>1684</v>
      </c>
      <c r="F593" s="283"/>
      <c r="G593" s="284">
        <v>13</v>
      </c>
      <c r="H593" s="284">
        <v>15</v>
      </c>
      <c r="I593" s="284">
        <v>3</v>
      </c>
      <c r="J593" s="284" t="s">
        <v>18</v>
      </c>
      <c r="K593" s="283"/>
      <c r="L593" s="284"/>
      <c r="M593" s="186"/>
      <c r="N593" s="285" t="s">
        <v>1685</v>
      </c>
      <c r="O593" s="117"/>
      <c r="P593" s="117"/>
      <c r="Q593" s="117"/>
      <c r="R593" s="117"/>
      <c r="S593" s="117"/>
      <c r="T593" s="117"/>
      <c r="U593" s="117"/>
      <c r="V593" s="117"/>
      <c r="W593" s="117"/>
      <c r="X593" s="117"/>
      <c r="Y593" s="117"/>
      <c r="Z593" s="117"/>
      <c r="AA593" s="117"/>
      <c r="AB593" s="117"/>
      <c r="AC593" s="117"/>
      <c r="AD593" s="117"/>
      <c r="AE593" s="117"/>
      <c r="AF593" s="117"/>
      <c r="AG593" s="117"/>
      <c r="AH593" s="117"/>
      <c r="AI593" s="117"/>
      <c r="AJ593" s="117"/>
      <c r="AK593" s="117"/>
      <c r="AL593" s="117"/>
      <c r="AM593" s="117"/>
      <c r="AN593" s="117"/>
      <c r="AO593" s="117"/>
      <c r="AP593" s="117"/>
      <c r="AQ593" s="117"/>
      <c r="AR593" s="117"/>
      <c r="AS593" s="117"/>
      <c r="AT593" s="117"/>
      <c r="AU593" s="117"/>
      <c r="AV593" s="117"/>
      <c r="AW593" s="117"/>
      <c r="AX593" s="117"/>
      <c r="AY593" s="117"/>
      <c r="AZ593" s="117"/>
      <c r="BA593" s="117"/>
      <c r="BB593" s="117"/>
      <c r="BC593" s="117"/>
      <c r="BD593" s="117"/>
      <c r="BE593" s="117"/>
      <c r="BF593" s="117"/>
      <c r="BG593" s="117"/>
      <c r="BH593" s="117"/>
      <c r="BI593" s="117"/>
      <c r="BJ593" s="117"/>
      <c r="BK593" s="117"/>
      <c r="BL593" s="117"/>
      <c r="BM593" s="117"/>
      <c r="BN593" s="117"/>
      <c r="BO593" s="117"/>
      <c r="BP593" s="117"/>
      <c r="BQ593" s="117"/>
      <c r="BR593" s="117"/>
      <c r="BS593" s="117"/>
      <c r="BT593" s="117"/>
      <c r="BU593" s="117"/>
      <c r="BV593" s="117"/>
      <c r="BW593" s="117"/>
      <c r="BX593" s="117"/>
      <c r="BY593" s="117"/>
      <c r="BZ593" s="117"/>
      <c r="CA593" s="117"/>
      <c r="CB593" s="117"/>
      <c r="CC593" s="117"/>
      <c r="CD593" s="117"/>
      <c r="CE593" s="117"/>
      <c r="CF593" s="117"/>
      <c r="CG593" s="117"/>
      <c r="CH593" s="117"/>
      <c r="CI593" s="117"/>
      <c r="CJ593" s="117"/>
      <c r="CK593" s="117"/>
      <c r="CL593" s="117"/>
      <c r="CM593" s="117"/>
      <c r="CN593" s="117"/>
      <c r="CO593" s="117"/>
      <c r="CP593" s="117"/>
      <c r="CQ593" s="117"/>
      <c r="CR593" s="117"/>
      <c r="CS593" s="117"/>
      <c r="CT593" s="117"/>
      <c r="CU593" s="117"/>
      <c r="CV593" s="117"/>
      <c r="CW593" s="117"/>
    </row>
    <row r="594" spans="1:101" s="279" customFormat="1" x14ac:dyDescent="0.2">
      <c r="A594" s="249">
        <f t="shared" si="160"/>
        <v>537</v>
      </c>
      <c r="B594" s="249" t="s">
        <v>2104</v>
      </c>
      <c r="C594" s="232" t="s">
        <v>2105</v>
      </c>
      <c r="D594" s="232" t="s">
        <v>1686</v>
      </c>
      <c r="E594" s="283" t="s">
        <v>1687</v>
      </c>
      <c r="F594" s="283"/>
      <c r="G594" s="284">
        <v>16</v>
      </c>
      <c r="H594" s="284">
        <v>21</v>
      </c>
      <c r="I594" s="284">
        <v>6</v>
      </c>
      <c r="J594" s="284" t="s">
        <v>18</v>
      </c>
      <c r="K594" s="283"/>
      <c r="L594" s="284"/>
      <c r="M594" s="186"/>
      <c r="N594" s="285" t="s">
        <v>1688</v>
      </c>
      <c r="O594" s="117"/>
      <c r="P594" s="117"/>
      <c r="Q594" s="117"/>
      <c r="R594" s="117"/>
      <c r="S594" s="117"/>
      <c r="T594" s="117"/>
      <c r="U594" s="117"/>
      <c r="V594" s="117"/>
      <c r="W594" s="117"/>
      <c r="X594" s="117"/>
      <c r="Y594" s="117"/>
      <c r="Z594" s="117"/>
      <c r="AA594" s="117"/>
      <c r="AB594" s="117"/>
      <c r="AC594" s="117"/>
      <c r="AD594" s="117"/>
      <c r="AE594" s="117"/>
      <c r="AF594" s="117"/>
      <c r="AG594" s="117"/>
      <c r="AH594" s="117"/>
      <c r="AI594" s="117"/>
      <c r="AJ594" s="117"/>
      <c r="AK594" s="117"/>
      <c r="AL594" s="117"/>
      <c r="AM594" s="117"/>
      <c r="AN594" s="117"/>
      <c r="AO594" s="117"/>
      <c r="AP594" s="117"/>
      <c r="AQ594" s="117"/>
      <c r="AR594" s="117"/>
      <c r="AS594" s="117"/>
      <c r="AT594" s="117"/>
      <c r="AU594" s="117"/>
      <c r="AV594" s="117"/>
      <c r="AW594" s="117"/>
      <c r="AX594" s="117"/>
      <c r="AY594" s="117"/>
      <c r="AZ594" s="117"/>
      <c r="BA594" s="117"/>
      <c r="BB594" s="117"/>
      <c r="BC594" s="117"/>
      <c r="BD594" s="117"/>
      <c r="BE594" s="117"/>
      <c r="BF594" s="117"/>
      <c r="BG594" s="117"/>
      <c r="BH594" s="117"/>
      <c r="BI594" s="117"/>
      <c r="BJ594" s="117"/>
      <c r="BK594" s="117"/>
      <c r="BL594" s="117"/>
      <c r="BM594" s="117"/>
      <c r="BN594" s="117"/>
      <c r="BO594" s="117"/>
      <c r="BP594" s="117"/>
      <c r="BQ594" s="117"/>
      <c r="BR594" s="117"/>
      <c r="BS594" s="117"/>
      <c r="BT594" s="117"/>
      <c r="BU594" s="117"/>
      <c r="BV594" s="117"/>
      <c r="BW594" s="117"/>
      <c r="BX594" s="117"/>
      <c r="BY594" s="117"/>
      <c r="BZ594" s="117"/>
      <c r="CA594" s="117"/>
      <c r="CB594" s="117"/>
      <c r="CC594" s="117"/>
      <c r="CD594" s="117"/>
      <c r="CE594" s="117"/>
      <c r="CF594" s="117"/>
      <c r="CG594" s="117"/>
      <c r="CH594" s="117"/>
      <c r="CI594" s="117"/>
      <c r="CJ594" s="117"/>
      <c r="CK594" s="117"/>
      <c r="CL594" s="117"/>
      <c r="CM594" s="117"/>
      <c r="CN594" s="117"/>
      <c r="CO594" s="117"/>
      <c r="CP594" s="117"/>
      <c r="CQ594" s="117"/>
      <c r="CR594" s="117"/>
      <c r="CS594" s="117"/>
      <c r="CT594" s="117"/>
      <c r="CU594" s="117"/>
      <c r="CV594" s="117"/>
      <c r="CW594" s="117"/>
    </row>
    <row r="595" spans="1:101" s="279" customFormat="1" x14ac:dyDescent="0.2">
      <c r="A595" s="249">
        <f t="shared" si="160"/>
        <v>538</v>
      </c>
      <c r="B595" s="249" t="s">
        <v>2107</v>
      </c>
      <c r="C595" s="232" t="s">
        <v>2110</v>
      </c>
      <c r="D595" s="232" t="s">
        <v>1689</v>
      </c>
      <c r="E595" s="283" t="s">
        <v>1690</v>
      </c>
      <c r="F595" s="283"/>
      <c r="G595" s="284">
        <v>22</v>
      </c>
      <c r="H595" s="284">
        <v>36</v>
      </c>
      <c r="I595" s="284">
        <v>15</v>
      </c>
      <c r="J595" s="284" t="s">
        <v>18</v>
      </c>
      <c r="K595" s="283"/>
      <c r="L595" s="284" t="s">
        <v>1547</v>
      </c>
      <c r="M595" s="186"/>
      <c r="N595" s="285"/>
      <c r="O595" s="117"/>
      <c r="P595" s="117"/>
      <c r="Q595" s="117"/>
      <c r="R595" s="117"/>
      <c r="S595" s="117"/>
      <c r="T595" s="117"/>
      <c r="U595" s="117"/>
      <c r="V595" s="117"/>
      <c r="W595" s="117"/>
      <c r="X595" s="117"/>
      <c r="Y595" s="117"/>
      <c r="Z595" s="117"/>
      <c r="AA595" s="117"/>
      <c r="AB595" s="117"/>
      <c r="AC595" s="117"/>
      <c r="AD595" s="117"/>
      <c r="AE595" s="117"/>
      <c r="AF595" s="117"/>
      <c r="AG595" s="117"/>
      <c r="AH595" s="117"/>
      <c r="AI595" s="117"/>
      <c r="AJ595" s="117"/>
      <c r="AK595" s="117"/>
      <c r="AL595" s="117"/>
      <c r="AM595" s="117"/>
      <c r="AN595" s="117"/>
      <c r="AO595" s="117"/>
      <c r="AP595" s="117"/>
      <c r="AQ595" s="117"/>
      <c r="AR595" s="117"/>
      <c r="AS595" s="117"/>
      <c r="AT595" s="117"/>
      <c r="AU595" s="117"/>
      <c r="AV595" s="117"/>
      <c r="AW595" s="117"/>
      <c r="AX595" s="117"/>
      <c r="AY595" s="117"/>
      <c r="AZ595" s="117"/>
      <c r="BA595" s="117"/>
      <c r="BB595" s="117"/>
      <c r="BC595" s="117"/>
      <c r="BD595" s="117"/>
      <c r="BE595" s="117"/>
      <c r="BF595" s="117"/>
      <c r="BG595" s="117"/>
      <c r="BH595" s="117"/>
      <c r="BI595" s="117"/>
      <c r="BJ595" s="117"/>
      <c r="BK595" s="117"/>
      <c r="BL595" s="117"/>
      <c r="BM595" s="117"/>
      <c r="BN595" s="117"/>
      <c r="BO595" s="117"/>
      <c r="BP595" s="117"/>
      <c r="BQ595" s="117"/>
      <c r="BR595" s="117"/>
      <c r="BS595" s="117"/>
      <c r="BT595" s="117"/>
      <c r="BU595" s="117"/>
      <c r="BV595" s="117"/>
      <c r="BW595" s="117"/>
      <c r="BX595" s="117"/>
      <c r="BY595" s="117"/>
      <c r="BZ595" s="117"/>
      <c r="CA595" s="117"/>
      <c r="CB595" s="117"/>
      <c r="CC595" s="117"/>
      <c r="CD595" s="117"/>
      <c r="CE595" s="117"/>
      <c r="CF595" s="117"/>
      <c r="CG595" s="117"/>
      <c r="CH595" s="117"/>
      <c r="CI595" s="117"/>
      <c r="CJ595" s="117"/>
      <c r="CK595" s="117"/>
      <c r="CL595" s="117"/>
      <c r="CM595" s="117"/>
      <c r="CN595" s="117"/>
      <c r="CO595" s="117"/>
      <c r="CP595" s="117"/>
      <c r="CQ595" s="117"/>
      <c r="CR595" s="117"/>
      <c r="CS595" s="117"/>
      <c r="CT595" s="117"/>
      <c r="CU595" s="117"/>
      <c r="CV595" s="117"/>
      <c r="CW595" s="117"/>
    </row>
    <row r="596" spans="1:101" s="279" customFormat="1" x14ac:dyDescent="0.2">
      <c r="A596" s="249">
        <f t="shared" si="160"/>
        <v>539</v>
      </c>
      <c r="B596" s="249" t="s">
        <v>2108</v>
      </c>
      <c r="C596" s="232" t="s">
        <v>2111</v>
      </c>
      <c r="D596" s="232" t="s">
        <v>1885</v>
      </c>
      <c r="E596" s="283" t="s">
        <v>1691</v>
      </c>
      <c r="F596" s="283"/>
      <c r="G596" s="284">
        <v>37</v>
      </c>
      <c r="H596" s="284">
        <v>43</v>
      </c>
      <c r="I596" s="284">
        <v>7</v>
      </c>
      <c r="J596" s="284" t="s">
        <v>18</v>
      </c>
      <c r="K596" s="283"/>
      <c r="L596" s="284" t="s">
        <v>1529</v>
      </c>
      <c r="M596" s="186"/>
      <c r="N596" s="285"/>
      <c r="O596" s="117"/>
      <c r="P596" s="117"/>
      <c r="Q596" s="117"/>
      <c r="R596" s="117"/>
      <c r="S596" s="117"/>
      <c r="T596" s="117"/>
      <c r="U596" s="117"/>
      <c r="V596" s="117"/>
      <c r="W596" s="117"/>
      <c r="X596" s="117"/>
      <c r="Y596" s="117"/>
      <c r="Z596" s="117"/>
      <c r="AA596" s="117"/>
      <c r="AB596" s="117"/>
      <c r="AC596" s="117"/>
      <c r="AD596" s="117"/>
      <c r="AE596" s="117"/>
      <c r="AF596" s="117"/>
      <c r="AG596" s="117"/>
      <c r="AH596" s="117"/>
      <c r="AI596" s="117"/>
      <c r="AJ596" s="117"/>
      <c r="AK596" s="117"/>
      <c r="AL596" s="117"/>
      <c r="AM596" s="117"/>
      <c r="AN596" s="117"/>
      <c r="AO596" s="117"/>
      <c r="AP596" s="117"/>
      <c r="AQ596" s="117"/>
      <c r="AR596" s="117"/>
      <c r="AS596" s="117"/>
      <c r="AT596" s="117"/>
      <c r="AU596" s="117"/>
      <c r="AV596" s="117"/>
      <c r="AW596" s="117"/>
      <c r="AX596" s="117"/>
      <c r="AY596" s="117"/>
      <c r="AZ596" s="117"/>
      <c r="BA596" s="117"/>
      <c r="BB596" s="117"/>
      <c r="BC596" s="117"/>
      <c r="BD596" s="117"/>
      <c r="BE596" s="117"/>
      <c r="BF596" s="117"/>
      <c r="BG596" s="117"/>
      <c r="BH596" s="117"/>
      <c r="BI596" s="117"/>
      <c r="BJ596" s="117"/>
      <c r="BK596" s="117"/>
      <c r="BL596" s="117"/>
      <c r="BM596" s="117"/>
      <c r="BN596" s="117"/>
      <c r="BO596" s="117"/>
      <c r="BP596" s="117"/>
      <c r="BQ596" s="117"/>
      <c r="BR596" s="117"/>
      <c r="BS596" s="117"/>
      <c r="BT596" s="117"/>
      <c r="BU596" s="117"/>
      <c r="BV596" s="117"/>
      <c r="BW596" s="117"/>
      <c r="BX596" s="117"/>
      <c r="BY596" s="117"/>
      <c r="BZ596" s="117"/>
      <c r="CA596" s="117"/>
      <c r="CB596" s="117"/>
      <c r="CC596" s="117"/>
      <c r="CD596" s="117"/>
      <c r="CE596" s="117"/>
      <c r="CF596" s="117"/>
      <c r="CG596" s="117"/>
      <c r="CH596" s="117"/>
      <c r="CI596" s="117"/>
      <c r="CJ596" s="117"/>
      <c r="CK596" s="117"/>
      <c r="CL596" s="117"/>
      <c r="CM596" s="117"/>
      <c r="CN596" s="117"/>
      <c r="CO596" s="117"/>
      <c r="CP596" s="117"/>
      <c r="CQ596" s="117"/>
      <c r="CR596" s="117"/>
      <c r="CS596" s="117"/>
      <c r="CT596" s="117"/>
      <c r="CU596" s="117"/>
      <c r="CV596" s="117"/>
      <c r="CW596" s="117"/>
    </row>
    <row r="597" spans="1:101" s="279" customFormat="1" x14ac:dyDescent="0.2">
      <c r="A597" s="249">
        <f t="shared" si="160"/>
        <v>540</v>
      </c>
      <c r="B597" s="249" t="s">
        <v>2109</v>
      </c>
      <c r="C597" s="232" t="s">
        <v>2112</v>
      </c>
      <c r="D597" s="232" t="s">
        <v>1886</v>
      </c>
      <c r="E597" s="283" t="s">
        <v>1692</v>
      </c>
      <c r="F597" s="283"/>
      <c r="G597" s="284">
        <v>44</v>
      </c>
      <c r="H597" s="284">
        <v>50</v>
      </c>
      <c r="I597" s="284">
        <v>7</v>
      </c>
      <c r="J597" s="284" t="s">
        <v>18</v>
      </c>
      <c r="K597" s="283"/>
      <c r="L597" s="284" t="s">
        <v>1529</v>
      </c>
      <c r="M597" s="186"/>
      <c r="N597" s="285"/>
      <c r="O597" s="117"/>
      <c r="P597" s="117"/>
      <c r="Q597" s="117"/>
      <c r="R597" s="117"/>
      <c r="S597" s="117"/>
      <c r="T597" s="117"/>
      <c r="U597" s="117"/>
      <c r="V597" s="117"/>
      <c r="W597" s="117"/>
      <c r="X597" s="117"/>
      <c r="Y597" s="117"/>
      <c r="Z597" s="117"/>
      <c r="AA597" s="117"/>
      <c r="AB597" s="117"/>
      <c r="AC597" s="117"/>
      <c r="AD597" s="117"/>
      <c r="AE597" s="117"/>
      <c r="AF597" s="117"/>
      <c r="AG597" s="117"/>
      <c r="AH597" s="117"/>
      <c r="AI597" s="117"/>
      <c r="AJ597" s="117"/>
      <c r="AK597" s="117"/>
      <c r="AL597" s="117"/>
      <c r="AM597" s="117"/>
      <c r="AN597" s="117"/>
      <c r="AO597" s="117"/>
      <c r="AP597" s="117"/>
      <c r="AQ597" s="117"/>
      <c r="AR597" s="117"/>
      <c r="AS597" s="117"/>
      <c r="AT597" s="117"/>
      <c r="AU597" s="117"/>
      <c r="AV597" s="117"/>
      <c r="AW597" s="117"/>
      <c r="AX597" s="117"/>
      <c r="AY597" s="117"/>
      <c r="AZ597" s="117"/>
      <c r="BA597" s="117"/>
      <c r="BB597" s="117"/>
      <c r="BC597" s="117"/>
      <c r="BD597" s="117"/>
      <c r="BE597" s="117"/>
      <c r="BF597" s="117"/>
      <c r="BG597" s="117"/>
      <c r="BH597" s="117"/>
      <c r="BI597" s="117"/>
      <c r="BJ597" s="117"/>
      <c r="BK597" s="117"/>
      <c r="BL597" s="117"/>
      <c r="BM597" s="117"/>
      <c r="BN597" s="117"/>
      <c r="BO597" s="117"/>
      <c r="BP597" s="117"/>
      <c r="BQ597" s="117"/>
      <c r="BR597" s="117"/>
      <c r="BS597" s="117"/>
      <c r="BT597" s="117"/>
      <c r="BU597" s="117"/>
      <c r="BV597" s="117"/>
      <c r="BW597" s="117"/>
      <c r="BX597" s="117"/>
      <c r="BY597" s="117"/>
      <c r="BZ597" s="117"/>
      <c r="CA597" s="117"/>
      <c r="CB597" s="117"/>
      <c r="CC597" s="117"/>
      <c r="CD597" s="117"/>
      <c r="CE597" s="117"/>
      <c r="CF597" s="117"/>
      <c r="CG597" s="117"/>
      <c r="CH597" s="117"/>
      <c r="CI597" s="117"/>
      <c r="CJ597" s="117"/>
      <c r="CK597" s="117"/>
      <c r="CL597" s="117"/>
      <c r="CM597" s="117"/>
      <c r="CN597" s="117"/>
      <c r="CO597" s="117"/>
      <c r="CP597" s="117"/>
      <c r="CQ597" s="117"/>
      <c r="CR597" s="117"/>
      <c r="CS597" s="117"/>
      <c r="CT597" s="117"/>
      <c r="CU597" s="117"/>
      <c r="CV597" s="117"/>
      <c r="CW597" s="117"/>
    </row>
    <row r="598" spans="1:101" s="279" customFormat="1" x14ac:dyDescent="0.2">
      <c r="A598" s="249">
        <f t="shared" si="160"/>
        <v>541</v>
      </c>
      <c r="B598" s="249" t="s">
        <v>2113</v>
      </c>
      <c r="C598" s="232" t="s">
        <v>2115</v>
      </c>
      <c r="D598" s="232" t="s">
        <v>1693</v>
      </c>
      <c r="E598" s="283" t="s">
        <v>1694</v>
      </c>
      <c r="F598" s="283"/>
      <c r="G598" s="284">
        <v>51</v>
      </c>
      <c r="H598" s="284">
        <v>57</v>
      </c>
      <c r="I598" s="284">
        <v>7</v>
      </c>
      <c r="J598" s="284" t="s">
        <v>15</v>
      </c>
      <c r="K598" s="283"/>
      <c r="L598" s="284" t="s">
        <v>1695</v>
      </c>
      <c r="M598" s="186"/>
      <c r="N598" s="285"/>
      <c r="O598" s="117"/>
      <c r="P598" s="117"/>
      <c r="Q598" s="117"/>
      <c r="R598" s="117"/>
      <c r="S598" s="117"/>
      <c r="T598" s="117"/>
      <c r="U598" s="117"/>
      <c r="V598" s="117"/>
      <c r="W598" s="117"/>
      <c r="X598" s="117"/>
      <c r="Y598" s="117"/>
      <c r="Z598" s="117"/>
      <c r="AA598" s="117"/>
      <c r="AB598" s="117"/>
      <c r="AC598" s="117"/>
      <c r="AD598" s="117"/>
      <c r="AE598" s="117"/>
      <c r="AF598" s="117"/>
      <c r="AG598" s="117"/>
      <c r="AH598" s="117"/>
      <c r="AI598" s="117"/>
      <c r="AJ598" s="117"/>
      <c r="AK598" s="117"/>
      <c r="AL598" s="117"/>
      <c r="AM598" s="117"/>
      <c r="AN598" s="117"/>
      <c r="AO598" s="117"/>
      <c r="AP598" s="117"/>
      <c r="AQ598" s="117"/>
      <c r="AR598" s="117"/>
      <c r="AS598" s="117"/>
      <c r="AT598" s="117"/>
      <c r="AU598" s="117"/>
      <c r="AV598" s="117"/>
      <c r="AW598" s="117"/>
      <c r="AX598" s="117"/>
      <c r="AY598" s="117"/>
      <c r="AZ598" s="117"/>
      <c r="BA598" s="117"/>
      <c r="BB598" s="117"/>
      <c r="BC598" s="117"/>
      <c r="BD598" s="117"/>
      <c r="BE598" s="117"/>
      <c r="BF598" s="117"/>
      <c r="BG598" s="117"/>
      <c r="BH598" s="117"/>
      <c r="BI598" s="117"/>
      <c r="BJ598" s="117"/>
      <c r="BK598" s="117"/>
      <c r="BL598" s="117"/>
      <c r="BM598" s="117"/>
      <c r="BN598" s="117"/>
      <c r="BO598" s="117"/>
      <c r="BP598" s="117"/>
      <c r="BQ598" s="117"/>
      <c r="BR598" s="117"/>
      <c r="BS598" s="117"/>
      <c r="BT598" s="117"/>
      <c r="BU598" s="117"/>
      <c r="BV598" s="117"/>
      <c r="BW598" s="117"/>
      <c r="BX598" s="117"/>
      <c r="BY598" s="117"/>
      <c r="BZ598" s="117"/>
      <c r="CA598" s="117"/>
      <c r="CB598" s="117"/>
      <c r="CC598" s="117"/>
      <c r="CD598" s="117"/>
      <c r="CE598" s="117"/>
      <c r="CF598" s="117"/>
      <c r="CG598" s="117"/>
      <c r="CH598" s="117"/>
      <c r="CI598" s="117"/>
      <c r="CJ598" s="117"/>
      <c r="CK598" s="117"/>
      <c r="CL598" s="117"/>
      <c r="CM598" s="117"/>
      <c r="CN598" s="117"/>
      <c r="CO598" s="117"/>
      <c r="CP598" s="117"/>
      <c r="CQ598" s="117"/>
      <c r="CR598" s="117"/>
      <c r="CS598" s="117"/>
      <c r="CT598" s="117"/>
      <c r="CU598" s="117"/>
      <c r="CV598" s="117"/>
      <c r="CW598" s="117"/>
    </row>
    <row r="599" spans="1:101" s="279" customFormat="1" x14ac:dyDescent="0.2">
      <c r="A599" s="249">
        <f t="shared" si="160"/>
        <v>542</v>
      </c>
      <c r="B599" s="249" t="s">
        <v>2114</v>
      </c>
      <c r="C599" s="232" t="s">
        <v>2116</v>
      </c>
      <c r="D599" s="232" t="s">
        <v>282</v>
      </c>
      <c r="E599" s="283" t="s">
        <v>1696</v>
      </c>
      <c r="F599" s="283"/>
      <c r="G599" s="284">
        <v>58</v>
      </c>
      <c r="H599" s="284">
        <v>72</v>
      </c>
      <c r="I599" s="284">
        <v>15</v>
      </c>
      <c r="J599" s="284" t="s">
        <v>18</v>
      </c>
      <c r="K599" s="283"/>
      <c r="L599" s="284" t="s">
        <v>1628</v>
      </c>
      <c r="M599" s="186"/>
      <c r="N599" s="285"/>
      <c r="O599" s="117"/>
      <c r="P599" s="117"/>
      <c r="Q599" s="117"/>
      <c r="R599" s="117"/>
      <c r="S599" s="117"/>
      <c r="T599" s="117"/>
      <c r="U599" s="117"/>
      <c r="V599" s="117"/>
      <c r="W599" s="117"/>
      <c r="X599" s="117"/>
      <c r="Y599" s="117"/>
      <c r="Z599" s="117"/>
      <c r="AA599" s="117"/>
      <c r="AB599" s="117"/>
      <c r="AC599" s="117"/>
      <c r="AD599" s="117"/>
      <c r="AE599" s="117"/>
      <c r="AF599" s="117"/>
      <c r="AG599" s="117"/>
      <c r="AH599" s="117"/>
      <c r="AI599" s="117"/>
      <c r="AJ599" s="117"/>
      <c r="AK599" s="117"/>
      <c r="AL599" s="117"/>
      <c r="AM599" s="117"/>
      <c r="AN599" s="117"/>
      <c r="AO599" s="117"/>
      <c r="AP599" s="117"/>
      <c r="AQ599" s="117"/>
      <c r="AR599" s="117"/>
      <c r="AS599" s="117"/>
      <c r="AT599" s="117"/>
      <c r="AU599" s="117"/>
      <c r="AV599" s="117"/>
      <c r="AW599" s="117"/>
      <c r="AX599" s="117"/>
      <c r="AY599" s="117"/>
      <c r="AZ599" s="117"/>
      <c r="BA599" s="117"/>
      <c r="BB599" s="117"/>
      <c r="BC599" s="117"/>
      <c r="BD599" s="117"/>
      <c r="BE599" s="117"/>
      <c r="BF599" s="117"/>
      <c r="BG599" s="117"/>
      <c r="BH599" s="117"/>
      <c r="BI599" s="117"/>
      <c r="BJ599" s="117"/>
      <c r="BK599" s="117"/>
      <c r="BL599" s="117"/>
      <c r="BM599" s="117"/>
      <c r="BN599" s="117"/>
      <c r="BO599" s="117"/>
      <c r="BP599" s="117"/>
      <c r="BQ599" s="117"/>
      <c r="BR599" s="117"/>
      <c r="BS599" s="117"/>
      <c r="BT599" s="117"/>
      <c r="BU599" s="117"/>
      <c r="BV599" s="117"/>
      <c r="BW599" s="117"/>
      <c r="BX599" s="117"/>
      <c r="BY599" s="117"/>
      <c r="BZ599" s="117"/>
      <c r="CA599" s="117"/>
      <c r="CB599" s="117"/>
      <c r="CC599" s="117"/>
      <c r="CD599" s="117"/>
      <c r="CE599" s="117"/>
      <c r="CF599" s="117"/>
      <c r="CG599" s="117"/>
      <c r="CH599" s="117"/>
      <c r="CI599" s="117"/>
      <c r="CJ599" s="117"/>
      <c r="CK599" s="117"/>
      <c r="CL599" s="117"/>
      <c r="CM599" s="117"/>
      <c r="CN599" s="117"/>
      <c r="CO599" s="117"/>
      <c r="CP599" s="117"/>
      <c r="CQ599" s="117"/>
      <c r="CR599" s="117"/>
      <c r="CS599" s="117"/>
      <c r="CT599" s="117"/>
      <c r="CU599" s="117"/>
      <c r="CV599" s="117"/>
      <c r="CW599" s="117"/>
    </row>
    <row r="600" spans="1:101" x14ac:dyDescent="0.2">
      <c r="A600" s="249">
        <f t="shared" si="160"/>
        <v>543</v>
      </c>
      <c r="B600" s="249" t="s">
        <v>2117</v>
      </c>
      <c r="C600" s="232" t="s">
        <v>1936</v>
      </c>
      <c r="D600" s="232" t="s">
        <v>1697</v>
      </c>
      <c r="E600" s="283" t="s">
        <v>1698</v>
      </c>
      <c r="F600" s="283"/>
      <c r="G600" s="284">
        <v>73</v>
      </c>
      <c r="H600" s="284">
        <v>87</v>
      </c>
      <c r="I600" s="284">
        <v>15</v>
      </c>
      <c r="J600" s="284" t="s">
        <v>18</v>
      </c>
      <c r="K600" s="283"/>
      <c r="L600" s="284" t="s">
        <v>1547</v>
      </c>
      <c r="M600" s="186"/>
      <c r="N600" s="285"/>
    </row>
    <row r="601" spans="1:101" s="117" customFormat="1" ht="15" x14ac:dyDescent="0.2">
      <c r="A601" s="288">
        <f t="shared" si="160"/>
        <v>544</v>
      </c>
      <c r="B601" s="292"/>
      <c r="C601" s="293"/>
      <c r="D601" s="294" t="s">
        <v>28</v>
      </c>
      <c r="E601" s="289" t="s">
        <v>14</v>
      </c>
      <c r="F601" s="289"/>
      <c r="G601" s="290">
        <v>88</v>
      </c>
      <c r="H601" s="290">
        <v>600</v>
      </c>
      <c r="I601" s="290">
        <f>H601-H600</f>
        <v>513</v>
      </c>
      <c r="J601" s="290" t="s">
        <v>15</v>
      </c>
      <c r="K601" s="289"/>
      <c r="L601" s="290"/>
      <c r="M601" s="291"/>
      <c r="N601" s="295" t="s">
        <v>29</v>
      </c>
    </row>
    <row r="602" spans="1:101" ht="14.45" customHeight="1" x14ac:dyDescent="0.2">
      <c r="A602" s="324"/>
      <c r="B602" s="325"/>
      <c r="C602" s="325"/>
      <c r="D602" s="325"/>
      <c r="E602" s="325"/>
      <c r="F602" s="325"/>
      <c r="G602" s="325"/>
      <c r="H602" s="325"/>
      <c r="I602" s="325"/>
      <c r="J602" s="325"/>
      <c r="K602" s="325"/>
      <c r="L602" s="325"/>
      <c r="M602" s="325"/>
      <c r="N602" s="326"/>
    </row>
    <row r="603" spans="1:101" s="279" customFormat="1" x14ac:dyDescent="0.2">
      <c r="A603" s="249">
        <f>A601+1</f>
        <v>545</v>
      </c>
      <c r="B603" s="249" t="s">
        <v>1906</v>
      </c>
      <c r="C603" s="232" t="s">
        <v>1867</v>
      </c>
      <c r="D603" s="232"/>
      <c r="E603" s="283" t="s">
        <v>14</v>
      </c>
      <c r="F603" s="283" t="s">
        <v>2133</v>
      </c>
      <c r="G603" s="284">
        <v>7</v>
      </c>
      <c r="H603" s="284">
        <v>9</v>
      </c>
      <c r="I603" s="284">
        <v>3</v>
      </c>
      <c r="J603" s="284" t="s">
        <v>18</v>
      </c>
      <c r="K603" s="283"/>
      <c r="L603" s="284"/>
      <c r="M603" s="186"/>
      <c r="N603" s="285" t="s">
        <v>1682</v>
      </c>
      <c r="O603" s="117"/>
      <c r="P603" s="117"/>
      <c r="Q603" s="117"/>
      <c r="R603" s="117"/>
      <c r="S603" s="117"/>
      <c r="T603" s="117"/>
      <c r="U603" s="117"/>
      <c r="V603" s="117"/>
      <c r="W603" s="117"/>
      <c r="X603" s="117"/>
      <c r="Y603" s="117"/>
      <c r="Z603" s="117"/>
      <c r="AA603" s="117"/>
      <c r="AB603" s="117"/>
      <c r="AC603" s="117"/>
      <c r="AD603" s="117"/>
      <c r="AE603" s="117"/>
      <c r="AF603" s="117"/>
      <c r="AG603" s="117"/>
      <c r="AH603" s="117"/>
      <c r="AI603" s="117"/>
      <c r="AJ603" s="117"/>
      <c r="AK603" s="117"/>
      <c r="AL603" s="117"/>
      <c r="AM603" s="117"/>
      <c r="AN603" s="117"/>
      <c r="AO603" s="117"/>
      <c r="AP603" s="117"/>
      <c r="AQ603" s="117"/>
      <c r="AR603" s="117"/>
      <c r="AS603" s="117"/>
      <c r="AT603" s="117"/>
      <c r="AU603" s="117"/>
      <c r="AV603" s="117"/>
      <c r="AW603" s="117"/>
      <c r="AX603" s="117"/>
      <c r="AY603" s="117"/>
      <c r="AZ603" s="117"/>
      <c r="BA603" s="117"/>
      <c r="BB603" s="117"/>
      <c r="BC603" s="117"/>
      <c r="BD603" s="117"/>
      <c r="BE603" s="117"/>
      <c r="BF603" s="117"/>
      <c r="BG603" s="117"/>
      <c r="BH603" s="117"/>
      <c r="BI603" s="117"/>
      <c r="BJ603" s="117"/>
      <c r="BK603" s="117"/>
      <c r="BL603" s="117"/>
      <c r="BM603" s="117"/>
      <c r="BN603" s="117"/>
      <c r="BO603" s="117"/>
      <c r="BP603" s="117"/>
      <c r="BQ603" s="117"/>
      <c r="BR603" s="117"/>
      <c r="BS603" s="117"/>
      <c r="BT603" s="117"/>
      <c r="BU603" s="117"/>
      <c r="BV603" s="117"/>
      <c r="BW603" s="117"/>
      <c r="BX603" s="117"/>
      <c r="BY603" s="117"/>
      <c r="BZ603" s="117"/>
      <c r="CA603" s="117"/>
      <c r="CB603" s="117"/>
      <c r="CC603" s="117"/>
      <c r="CD603" s="117"/>
      <c r="CE603" s="117"/>
      <c r="CF603" s="117"/>
      <c r="CG603" s="117"/>
      <c r="CH603" s="117"/>
      <c r="CI603" s="117"/>
      <c r="CJ603" s="117"/>
      <c r="CK603" s="117"/>
      <c r="CL603" s="117"/>
      <c r="CM603" s="117"/>
      <c r="CN603" s="117"/>
      <c r="CO603" s="117"/>
      <c r="CP603" s="117"/>
      <c r="CQ603" s="117"/>
      <c r="CR603" s="117"/>
      <c r="CS603" s="117"/>
      <c r="CT603" s="117"/>
      <c r="CU603" s="117"/>
      <c r="CV603" s="117"/>
      <c r="CW603" s="117"/>
    </row>
    <row r="604" spans="1:101" s="279" customFormat="1" x14ac:dyDescent="0.2">
      <c r="A604" s="249">
        <f t="shared" si="150"/>
        <v>546</v>
      </c>
      <c r="B604" s="249"/>
      <c r="C604" s="232"/>
      <c r="D604" s="172" t="s">
        <v>267</v>
      </c>
      <c r="E604" s="283">
        <v>99</v>
      </c>
      <c r="F604" s="283"/>
      <c r="G604" s="284">
        <f>H603+1</f>
        <v>10</v>
      </c>
      <c r="H604" s="284">
        <f>H603+I604</f>
        <v>12</v>
      </c>
      <c r="I604" s="284">
        <v>3</v>
      </c>
      <c r="J604" s="284" t="s">
        <v>18</v>
      </c>
      <c r="K604" s="283"/>
      <c r="L604" s="284"/>
      <c r="M604" s="186"/>
      <c r="N604" s="186" t="s">
        <v>268</v>
      </c>
      <c r="O604" s="117"/>
      <c r="P604" s="117"/>
      <c r="Q604" s="117"/>
      <c r="R604" s="117"/>
      <c r="S604" s="117"/>
      <c r="T604" s="117"/>
      <c r="U604" s="117"/>
      <c r="V604" s="117"/>
      <c r="W604" s="117"/>
      <c r="X604" s="117"/>
      <c r="Y604" s="117"/>
      <c r="Z604" s="117"/>
      <c r="AA604" s="117"/>
      <c r="AB604" s="117"/>
      <c r="AC604" s="117"/>
      <c r="AD604" s="117"/>
      <c r="AE604" s="117"/>
      <c r="AF604" s="117"/>
      <c r="AG604" s="117"/>
      <c r="AH604" s="117"/>
      <c r="AI604" s="117"/>
      <c r="AJ604" s="117"/>
      <c r="AK604" s="117"/>
      <c r="AL604" s="117"/>
      <c r="AM604" s="117"/>
      <c r="AN604" s="117"/>
      <c r="AO604" s="117"/>
      <c r="AP604" s="117"/>
      <c r="AQ604" s="117"/>
      <c r="AR604" s="117"/>
      <c r="AS604" s="117"/>
      <c r="AT604" s="117"/>
      <c r="AU604" s="117"/>
      <c r="AV604" s="117"/>
      <c r="AW604" s="117"/>
      <c r="AX604" s="117"/>
      <c r="AY604" s="117"/>
      <c r="AZ604" s="117"/>
      <c r="BA604" s="117"/>
      <c r="BB604" s="117"/>
      <c r="BC604" s="117"/>
      <c r="BD604" s="117"/>
      <c r="BE604" s="117"/>
      <c r="BF604" s="117"/>
      <c r="BG604" s="117"/>
      <c r="BH604" s="117"/>
      <c r="BI604" s="117"/>
      <c r="BJ604" s="117"/>
      <c r="BK604" s="117"/>
      <c r="BL604" s="117"/>
      <c r="BM604" s="117"/>
      <c r="BN604" s="117"/>
      <c r="BO604" s="117"/>
      <c r="BP604" s="117"/>
      <c r="BQ604" s="117"/>
      <c r="BR604" s="117"/>
      <c r="BS604" s="117"/>
      <c r="BT604" s="117"/>
      <c r="BU604" s="117"/>
      <c r="BV604" s="117"/>
      <c r="BW604" s="117"/>
      <c r="BX604" s="117"/>
      <c r="BY604" s="117"/>
      <c r="BZ604" s="117"/>
      <c r="CA604" s="117"/>
      <c r="CB604" s="117"/>
      <c r="CC604" s="117"/>
      <c r="CD604" s="117"/>
      <c r="CE604" s="117"/>
      <c r="CF604" s="117"/>
      <c r="CG604" s="117"/>
      <c r="CH604" s="117"/>
      <c r="CI604" s="117"/>
      <c r="CJ604" s="117"/>
      <c r="CK604" s="117"/>
      <c r="CL604" s="117"/>
      <c r="CM604" s="117"/>
      <c r="CN604" s="117"/>
      <c r="CO604" s="117"/>
      <c r="CP604" s="117"/>
      <c r="CQ604" s="117"/>
      <c r="CR604" s="117"/>
      <c r="CS604" s="117"/>
      <c r="CT604" s="117"/>
      <c r="CU604" s="117"/>
      <c r="CV604" s="117"/>
      <c r="CW604" s="117"/>
    </row>
    <row r="605" spans="1:101" s="279" customFormat="1" x14ac:dyDescent="0.2">
      <c r="A605" s="249">
        <f t="shared" si="150"/>
        <v>547</v>
      </c>
      <c r="B605" s="249" t="s">
        <v>1907</v>
      </c>
      <c r="C605" s="232" t="s">
        <v>1240</v>
      </c>
      <c r="D605" s="286" t="s">
        <v>1540</v>
      </c>
      <c r="E605" s="283" t="s">
        <v>1541</v>
      </c>
      <c r="F605" s="283"/>
      <c r="G605" s="284">
        <f t="shared" ref="G605:G606" si="161">H604+1</f>
        <v>13</v>
      </c>
      <c r="H605" s="284">
        <f t="shared" ref="H605:H606" si="162">H604+I605</f>
        <v>15</v>
      </c>
      <c r="I605" s="284">
        <v>3</v>
      </c>
      <c r="J605" s="284" t="s">
        <v>18</v>
      </c>
      <c r="K605" s="283" t="s">
        <v>1755</v>
      </c>
      <c r="L605" s="284"/>
      <c r="M605" s="186"/>
      <c r="N605" s="186" t="s">
        <v>1542</v>
      </c>
      <c r="O605" s="117"/>
      <c r="P605" s="117"/>
      <c r="Q605" s="117"/>
      <c r="R605" s="117"/>
      <c r="S605" s="117"/>
      <c r="T605" s="117"/>
      <c r="U605" s="117"/>
      <c r="V605" s="117"/>
      <c r="W605" s="117"/>
      <c r="X605" s="117"/>
      <c r="Y605" s="117"/>
      <c r="Z605" s="117"/>
      <c r="AA605" s="117"/>
      <c r="AB605" s="117"/>
      <c r="AC605" s="117"/>
      <c r="AD605" s="117"/>
      <c r="AE605" s="117"/>
      <c r="AF605" s="117"/>
      <c r="AG605" s="117"/>
      <c r="AH605" s="117"/>
      <c r="AI605" s="117"/>
      <c r="AJ605" s="117"/>
      <c r="AK605" s="117"/>
      <c r="AL605" s="117"/>
      <c r="AM605" s="117"/>
      <c r="AN605" s="117"/>
      <c r="AO605" s="117"/>
      <c r="AP605" s="117"/>
      <c r="AQ605" s="117"/>
      <c r="AR605" s="117"/>
      <c r="AS605" s="117"/>
      <c r="AT605" s="117"/>
      <c r="AU605" s="117"/>
      <c r="AV605" s="117"/>
      <c r="AW605" s="117"/>
      <c r="AX605" s="117"/>
      <c r="AY605" s="117"/>
      <c r="AZ605" s="117"/>
      <c r="BA605" s="117"/>
      <c r="BB605" s="117"/>
      <c r="BC605" s="117"/>
      <c r="BD605" s="117"/>
      <c r="BE605" s="117"/>
      <c r="BF605" s="117"/>
      <c r="BG605" s="117"/>
      <c r="BH605" s="117"/>
      <c r="BI605" s="117"/>
      <c r="BJ605" s="117"/>
      <c r="BK605" s="117"/>
      <c r="BL605" s="117"/>
      <c r="BM605" s="117"/>
      <c r="BN605" s="117"/>
      <c r="BO605" s="117"/>
      <c r="BP605" s="117"/>
      <c r="BQ605" s="117"/>
      <c r="BR605" s="117"/>
      <c r="BS605" s="117"/>
      <c r="BT605" s="117"/>
      <c r="BU605" s="117"/>
      <c r="BV605" s="117"/>
      <c r="BW605" s="117"/>
      <c r="BX605" s="117"/>
      <c r="BY605" s="117"/>
      <c r="BZ605" s="117"/>
      <c r="CA605" s="117"/>
      <c r="CB605" s="117"/>
      <c r="CC605" s="117"/>
      <c r="CD605" s="117"/>
      <c r="CE605" s="117"/>
      <c r="CF605" s="117"/>
      <c r="CG605" s="117"/>
      <c r="CH605" s="117"/>
      <c r="CI605" s="117"/>
      <c r="CJ605" s="117"/>
      <c r="CK605" s="117"/>
      <c r="CL605" s="117"/>
      <c r="CM605" s="117"/>
      <c r="CN605" s="117"/>
      <c r="CO605" s="117"/>
      <c r="CP605" s="117"/>
      <c r="CQ605" s="117"/>
      <c r="CR605" s="117"/>
      <c r="CS605" s="117"/>
      <c r="CT605" s="117"/>
      <c r="CU605" s="117"/>
      <c r="CV605" s="117"/>
      <c r="CW605" s="117"/>
    </row>
    <row r="606" spans="1:101" s="279" customFormat="1" x14ac:dyDescent="0.2">
      <c r="A606" s="249">
        <f t="shared" si="150"/>
        <v>548</v>
      </c>
      <c r="B606" s="249" t="s">
        <v>1908</v>
      </c>
      <c r="C606" s="232" t="s">
        <v>1888</v>
      </c>
      <c r="D606" s="286" t="s">
        <v>1543</v>
      </c>
      <c r="E606" s="283" t="s">
        <v>1544</v>
      </c>
      <c r="F606" s="283"/>
      <c r="G606" s="284">
        <f t="shared" si="161"/>
        <v>16</v>
      </c>
      <c r="H606" s="284">
        <f t="shared" si="162"/>
        <v>21</v>
      </c>
      <c r="I606" s="284">
        <v>6</v>
      </c>
      <c r="J606" s="284" t="s">
        <v>18</v>
      </c>
      <c r="K606" s="283" t="s">
        <v>1755</v>
      </c>
      <c r="L606" s="284"/>
      <c r="M606" s="186"/>
      <c r="N606" s="186" t="s">
        <v>1545</v>
      </c>
      <c r="O606" s="117"/>
      <c r="P606" s="117"/>
      <c r="Q606" s="117"/>
      <c r="R606" s="117"/>
      <c r="S606" s="117"/>
      <c r="T606" s="117"/>
      <c r="U606" s="117"/>
      <c r="V606" s="117"/>
      <c r="W606" s="117"/>
      <c r="X606" s="117"/>
      <c r="Y606" s="117"/>
      <c r="Z606" s="117"/>
      <c r="AA606" s="117"/>
      <c r="AB606" s="117"/>
      <c r="AC606" s="117"/>
      <c r="AD606" s="117"/>
      <c r="AE606" s="117"/>
      <c r="AF606" s="117"/>
      <c r="AG606" s="117"/>
      <c r="AH606" s="117"/>
      <c r="AI606" s="117"/>
      <c r="AJ606" s="117"/>
      <c r="AK606" s="117"/>
      <c r="AL606" s="117"/>
      <c r="AM606" s="117"/>
      <c r="AN606" s="117"/>
      <c r="AO606" s="117"/>
      <c r="AP606" s="117"/>
      <c r="AQ606" s="117"/>
      <c r="AR606" s="117"/>
      <c r="AS606" s="117"/>
      <c r="AT606" s="117"/>
      <c r="AU606" s="117"/>
      <c r="AV606" s="117"/>
      <c r="AW606" s="117"/>
      <c r="AX606" s="117"/>
      <c r="AY606" s="117"/>
      <c r="AZ606" s="117"/>
      <c r="BA606" s="117"/>
      <c r="BB606" s="117"/>
      <c r="BC606" s="117"/>
      <c r="BD606" s="117"/>
      <c r="BE606" s="117"/>
      <c r="BF606" s="117"/>
      <c r="BG606" s="117"/>
      <c r="BH606" s="117"/>
      <c r="BI606" s="117"/>
      <c r="BJ606" s="117"/>
      <c r="BK606" s="117"/>
      <c r="BL606" s="117"/>
      <c r="BM606" s="117"/>
      <c r="BN606" s="117"/>
      <c r="BO606" s="117"/>
      <c r="BP606" s="117"/>
      <c r="BQ606" s="117"/>
      <c r="BR606" s="117"/>
      <c r="BS606" s="117"/>
      <c r="BT606" s="117"/>
      <c r="BU606" s="117"/>
      <c r="BV606" s="117"/>
      <c r="BW606" s="117"/>
      <c r="BX606" s="117"/>
      <c r="BY606" s="117"/>
      <c r="BZ606" s="117"/>
      <c r="CA606" s="117"/>
      <c r="CB606" s="117"/>
      <c r="CC606" s="117"/>
      <c r="CD606" s="117"/>
      <c r="CE606" s="117"/>
      <c r="CF606" s="117"/>
      <c r="CG606" s="117"/>
      <c r="CH606" s="117"/>
      <c r="CI606" s="117"/>
      <c r="CJ606" s="117"/>
      <c r="CK606" s="117"/>
      <c r="CL606" s="117"/>
      <c r="CM606" s="117"/>
      <c r="CN606" s="117"/>
      <c r="CO606" s="117"/>
      <c r="CP606" s="117"/>
      <c r="CQ606" s="117"/>
      <c r="CR606" s="117"/>
      <c r="CS606" s="117"/>
      <c r="CT606" s="117"/>
      <c r="CU606" s="117"/>
      <c r="CV606" s="117"/>
      <c r="CW606" s="117"/>
    </row>
    <row r="607" spans="1:101" s="279" customFormat="1" x14ac:dyDescent="0.2">
      <c r="A607" s="307">
        <f t="shared" si="150"/>
        <v>549</v>
      </c>
      <c r="B607" s="307" t="s">
        <v>1909</v>
      </c>
      <c r="C607" s="308" t="s">
        <v>1889</v>
      </c>
      <c r="D607" s="309" t="s">
        <v>1887</v>
      </c>
      <c r="E607" s="310" t="s">
        <v>1890</v>
      </c>
      <c r="F607" s="310"/>
      <c r="G607" s="311">
        <f t="shared" ref="G607:G608" si="163">H606+1</f>
        <v>22</v>
      </c>
      <c r="H607" s="311">
        <f t="shared" ref="H607:H608" si="164">H606+I607</f>
        <v>22</v>
      </c>
      <c r="I607" s="311">
        <v>1</v>
      </c>
      <c r="J607" s="311" t="s">
        <v>15</v>
      </c>
      <c r="K607" s="310"/>
      <c r="L607" s="311"/>
      <c r="M607" s="312"/>
      <c r="N607" s="312" t="s">
        <v>1891</v>
      </c>
      <c r="O607" s="117"/>
      <c r="P607" s="117"/>
      <c r="Q607" s="117"/>
      <c r="R607" s="117"/>
      <c r="S607" s="117"/>
      <c r="T607" s="117"/>
      <c r="U607" s="117"/>
      <c r="V607" s="117"/>
      <c r="W607" s="117"/>
      <c r="X607" s="117"/>
      <c r="Y607" s="117"/>
      <c r="Z607" s="117"/>
      <c r="AA607" s="117"/>
      <c r="AB607" s="117"/>
      <c r="AC607" s="117"/>
      <c r="AD607" s="117"/>
      <c r="AE607" s="117"/>
      <c r="AF607" s="117"/>
      <c r="AG607" s="117"/>
      <c r="AH607" s="117"/>
      <c r="AI607" s="117"/>
      <c r="AJ607" s="117"/>
      <c r="AK607" s="117"/>
      <c r="AL607" s="117"/>
      <c r="AM607" s="117"/>
      <c r="AN607" s="117"/>
      <c r="AO607" s="117"/>
      <c r="AP607" s="117"/>
      <c r="AQ607" s="117"/>
      <c r="AR607" s="117"/>
      <c r="AS607" s="117"/>
      <c r="AT607" s="117"/>
      <c r="AU607" s="117"/>
      <c r="AV607" s="117"/>
      <c r="AW607" s="117"/>
      <c r="AX607" s="117"/>
      <c r="AY607" s="117"/>
      <c r="AZ607" s="117"/>
      <c r="BA607" s="117"/>
      <c r="BB607" s="117"/>
      <c r="BC607" s="117"/>
      <c r="BD607" s="117"/>
      <c r="BE607" s="117"/>
      <c r="BF607" s="117"/>
      <c r="BG607" s="117"/>
      <c r="BH607" s="117"/>
      <c r="BI607" s="117"/>
      <c r="BJ607" s="117"/>
      <c r="BK607" s="117"/>
      <c r="BL607" s="117"/>
      <c r="BM607" s="117"/>
      <c r="BN607" s="117"/>
      <c r="BO607" s="117"/>
      <c r="BP607" s="117"/>
      <c r="BQ607" s="117"/>
      <c r="BR607" s="117"/>
      <c r="BS607" s="117"/>
      <c r="BT607" s="117"/>
      <c r="BU607" s="117"/>
      <c r="BV607" s="117"/>
      <c r="BW607" s="117"/>
      <c r="BX607" s="117"/>
      <c r="BY607" s="117"/>
      <c r="BZ607" s="117"/>
      <c r="CA607" s="117"/>
      <c r="CB607" s="117"/>
      <c r="CC607" s="117"/>
      <c r="CD607" s="117"/>
      <c r="CE607" s="117"/>
      <c r="CF607" s="117"/>
      <c r="CG607" s="117"/>
      <c r="CH607" s="117"/>
      <c r="CI607" s="117"/>
      <c r="CJ607" s="117"/>
      <c r="CK607" s="117"/>
      <c r="CL607" s="117"/>
      <c r="CM607" s="117"/>
      <c r="CN607" s="117"/>
      <c r="CO607" s="117"/>
      <c r="CP607" s="117"/>
      <c r="CQ607" s="117"/>
      <c r="CR607" s="117"/>
      <c r="CS607" s="117"/>
      <c r="CT607" s="117"/>
      <c r="CU607" s="117"/>
      <c r="CV607" s="117"/>
      <c r="CW607" s="117"/>
    </row>
    <row r="608" spans="1:101" s="279" customFormat="1" x14ac:dyDescent="0.2">
      <c r="A608" s="249">
        <f t="shared" si="150"/>
        <v>550</v>
      </c>
      <c r="B608" s="249" t="s">
        <v>1910</v>
      </c>
      <c r="C608" s="232" t="s">
        <v>1243</v>
      </c>
      <c r="D608" s="286" t="s">
        <v>2063</v>
      </c>
      <c r="E608" s="283" t="s">
        <v>1546</v>
      </c>
      <c r="F608" s="283"/>
      <c r="G608" s="284">
        <f t="shared" si="163"/>
        <v>23</v>
      </c>
      <c r="H608" s="284">
        <f t="shared" si="164"/>
        <v>37</v>
      </c>
      <c r="I608" s="284">
        <v>15</v>
      </c>
      <c r="J608" s="284" t="s">
        <v>18</v>
      </c>
      <c r="K608" s="283"/>
      <c r="L608" s="284" t="s">
        <v>1547</v>
      </c>
      <c r="M608" s="186"/>
      <c r="N608" s="186"/>
      <c r="O608" s="117"/>
      <c r="P608" s="117"/>
      <c r="Q608" s="117"/>
      <c r="R608" s="117"/>
      <c r="S608" s="117"/>
      <c r="T608" s="117"/>
      <c r="U608" s="117"/>
      <c r="V608" s="117"/>
      <c r="W608" s="117"/>
      <c r="X608" s="117"/>
      <c r="Y608" s="117"/>
      <c r="Z608" s="117"/>
      <c r="AA608" s="117"/>
      <c r="AB608" s="117"/>
      <c r="AC608" s="117"/>
      <c r="AD608" s="117"/>
      <c r="AE608" s="117"/>
      <c r="AF608" s="117"/>
      <c r="AG608" s="117"/>
      <c r="AH608" s="117"/>
      <c r="AI608" s="117"/>
      <c r="AJ608" s="117"/>
      <c r="AK608" s="117"/>
      <c r="AL608" s="117"/>
      <c r="AM608" s="117"/>
      <c r="AN608" s="117"/>
      <c r="AO608" s="117"/>
      <c r="AP608" s="117"/>
      <c r="AQ608" s="117"/>
      <c r="AR608" s="117"/>
      <c r="AS608" s="117"/>
      <c r="AT608" s="117"/>
      <c r="AU608" s="117"/>
      <c r="AV608" s="117"/>
      <c r="AW608" s="117"/>
      <c r="AX608" s="117"/>
      <c r="AY608" s="117"/>
      <c r="AZ608" s="117"/>
      <c r="BA608" s="117"/>
      <c r="BB608" s="117"/>
      <c r="BC608" s="117"/>
      <c r="BD608" s="117"/>
      <c r="BE608" s="117"/>
      <c r="BF608" s="117"/>
      <c r="BG608" s="117"/>
      <c r="BH608" s="117"/>
      <c r="BI608" s="117"/>
      <c r="BJ608" s="117"/>
      <c r="BK608" s="117"/>
      <c r="BL608" s="117"/>
      <c r="BM608" s="117"/>
      <c r="BN608" s="117"/>
      <c r="BO608" s="117"/>
      <c r="BP608" s="117"/>
      <c r="BQ608" s="117"/>
      <c r="BR608" s="117"/>
      <c r="BS608" s="117"/>
      <c r="BT608" s="117"/>
      <c r="BU608" s="117"/>
      <c r="BV608" s="117"/>
      <c r="BW608" s="117"/>
      <c r="BX608" s="117"/>
      <c r="BY608" s="117"/>
      <c r="BZ608" s="117"/>
      <c r="CA608" s="117"/>
      <c r="CB608" s="117"/>
      <c r="CC608" s="117"/>
      <c r="CD608" s="117"/>
      <c r="CE608" s="117"/>
      <c r="CF608" s="117"/>
      <c r="CG608" s="117"/>
      <c r="CH608" s="117"/>
      <c r="CI608" s="117"/>
      <c r="CJ608" s="117"/>
      <c r="CK608" s="117"/>
      <c r="CL608" s="117"/>
      <c r="CM608" s="117"/>
      <c r="CN608" s="117"/>
      <c r="CO608" s="117"/>
      <c r="CP608" s="117"/>
      <c r="CQ608" s="117"/>
      <c r="CR608" s="117"/>
      <c r="CS608" s="117"/>
      <c r="CT608" s="117"/>
      <c r="CU608" s="117"/>
      <c r="CV608" s="117"/>
      <c r="CW608" s="117"/>
    </row>
    <row r="609" spans="1:101" s="279" customFormat="1" x14ac:dyDescent="0.2">
      <c r="A609" s="249">
        <f t="shared" si="150"/>
        <v>551</v>
      </c>
      <c r="B609" s="249" t="s">
        <v>2054</v>
      </c>
      <c r="C609" s="232" t="s">
        <v>2055</v>
      </c>
      <c r="D609" s="286" t="s">
        <v>1548</v>
      </c>
      <c r="E609" s="283" t="s">
        <v>1549</v>
      </c>
      <c r="F609" s="283"/>
      <c r="G609" s="284">
        <f t="shared" ref="G609:G637" si="165">H608+1</f>
        <v>38</v>
      </c>
      <c r="H609" s="284">
        <f t="shared" ref="H609:H637" si="166">H608+I609</f>
        <v>44</v>
      </c>
      <c r="I609" s="284">
        <v>7</v>
      </c>
      <c r="J609" s="284" t="s">
        <v>18</v>
      </c>
      <c r="K609" s="283"/>
      <c r="L609" s="284" t="s">
        <v>1529</v>
      </c>
      <c r="M609" s="186"/>
      <c r="N609" s="186" t="s">
        <v>1894</v>
      </c>
      <c r="O609" s="117"/>
      <c r="P609" s="117"/>
      <c r="Q609" s="117"/>
      <c r="R609" s="117"/>
      <c r="S609" s="117"/>
      <c r="T609" s="117"/>
      <c r="U609" s="117"/>
      <c r="V609" s="117"/>
      <c r="W609" s="117"/>
      <c r="X609" s="117"/>
      <c r="Y609" s="117"/>
      <c r="Z609" s="117"/>
      <c r="AA609" s="117"/>
      <c r="AB609" s="117"/>
      <c r="AC609" s="117"/>
      <c r="AD609" s="117"/>
      <c r="AE609" s="117"/>
      <c r="AF609" s="117"/>
      <c r="AG609" s="117"/>
      <c r="AH609" s="117"/>
      <c r="AI609" s="117"/>
      <c r="AJ609" s="117"/>
      <c r="AK609" s="117"/>
      <c r="AL609" s="117"/>
      <c r="AM609" s="117"/>
      <c r="AN609" s="117"/>
      <c r="AO609" s="117"/>
      <c r="AP609" s="117"/>
      <c r="AQ609" s="117"/>
      <c r="AR609" s="117"/>
      <c r="AS609" s="117"/>
      <c r="AT609" s="117"/>
      <c r="AU609" s="117"/>
      <c r="AV609" s="117"/>
      <c r="AW609" s="117"/>
      <c r="AX609" s="117"/>
      <c r="AY609" s="117"/>
      <c r="AZ609" s="117"/>
      <c r="BA609" s="117"/>
      <c r="BB609" s="117"/>
      <c r="BC609" s="117"/>
      <c r="BD609" s="117"/>
      <c r="BE609" s="117"/>
      <c r="BF609" s="117"/>
      <c r="BG609" s="117"/>
      <c r="BH609" s="117"/>
      <c r="BI609" s="117"/>
      <c r="BJ609" s="117"/>
      <c r="BK609" s="117"/>
      <c r="BL609" s="117"/>
      <c r="BM609" s="117"/>
      <c r="BN609" s="117"/>
      <c r="BO609" s="117"/>
      <c r="BP609" s="117"/>
      <c r="BQ609" s="117"/>
      <c r="BR609" s="117"/>
      <c r="BS609" s="117"/>
      <c r="BT609" s="117"/>
      <c r="BU609" s="117"/>
      <c r="BV609" s="117"/>
      <c r="BW609" s="117"/>
      <c r="BX609" s="117"/>
      <c r="BY609" s="117"/>
      <c r="BZ609" s="117"/>
      <c r="CA609" s="117"/>
      <c r="CB609" s="117"/>
      <c r="CC609" s="117"/>
      <c r="CD609" s="117"/>
      <c r="CE609" s="117"/>
      <c r="CF609" s="117"/>
      <c r="CG609" s="117"/>
      <c r="CH609" s="117"/>
      <c r="CI609" s="117"/>
      <c r="CJ609" s="117"/>
      <c r="CK609" s="117"/>
      <c r="CL609" s="117"/>
      <c r="CM609" s="117"/>
      <c r="CN609" s="117"/>
      <c r="CO609" s="117"/>
      <c r="CP609" s="117"/>
      <c r="CQ609" s="117"/>
      <c r="CR609" s="117"/>
      <c r="CS609" s="117"/>
      <c r="CT609" s="117"/>
      <c r="CU609" s="117"/>
      <c r="CV609" s="117"/>
      <c r="CW609" s="117"/>
    </row>
    <row r="610" spans="1:101" s="279" customFormat="1" x14ac:dyDescent="0.2">
      <c r="A610" s="249">
        <f t="shared" si="150"/>
        <v>552</v>
      </c>
      <c r="B610" s="249" t="s">
        <v>2056</v>
      </c>
      <c r="C610" s="232" t="s">
        <v>1258</v>
      </c>
      <c r="D610" s="286" t="s">
        <v>1550</v>
      </c>
      <c r="E610" s="283" t="s">
        <v>1551</v>
      </c>
      <c r="F610" s="283"/>
      <c r="G610" s="284">
        <f t="shared" si="165"/>
        <v>45</v>
      </c>
      <c r="H610" s="284">
        <f t="shared" si="166"/>
        <v>51</v>
      </c>
      <c r="I610" s="284">
        <v>7</v>
      </c>
      <c r="J610" s="284" t="s">
        <v>18</v>
      </c>
      <c r="K610" s="283"/>
      <c r="L610" s="284" t="s">
        <v>1529</v>
      </c>
      <c r="M610" s="186"/>
      <c r="N610" s="186"/>
      <c r="O610" s="117"/>
      <c r="P610" s="117"/>
      <c r="Q610" s="117"/>
      <c r="R610" s="117"/>
      <c r="S610" s="117"/>
      <c r="T610" s="117"/>
      <c r="U610" s="117"/>
      <c r="V610" s="117"/>
      <c r="W610" s="117"/>
      <c r="X610" s="117"/>
      <c r="Y610" s="117"/>
      <c r="Z610" s="117"/>
      <c r="AA610" s="117"/>
      <c r="AB610" s="117"/>
      <c r="AC610" s="117"/>
      <c r="AD610" s="117"/>
      <c r="AE610" s="117"/>
      <c r="AF610" s="117"/>
      <c r="AG610" s="117"/>
      <c r="AH610" s="117"/>
      <c r="AI610" s="117"/>
      <c r="AJ610" s="117"/>
      <c r="AK610" s="117"/>
      <c r="AL610" s="117"/>
      <c r="AM610" s="117"/>
      <c r="AN610" s="117"/>
      <c r="AO610" s="117"/>
      <c r="AP610" s="117"/>
      <c r="AQ610" s="117"/>
      <c r="AR610" s="117"/>
      <c r="AS610" s="117"/>
      <c r="AT610" s="117"/>
      <c r="AU610" s="117"/>
      <c r="AV610" s="117"/>
      <c r="AW610" s="117"/>
      <c r="AX610" s="117"/>
      <c r="AY610" s="117"/>
      <c r="AZ610" s="117"/>
      <c r="BA610" s="117"/>
      <c r="BB610" s="117"/>
      <c r="BC610" s="117"/>
      <c r="BD610" s="117"/>
      <c r="BE610" s="117"/>
      <c r="BF610" s="117"/>
      <c r="BG610" s="117"/>
      <c r="BH610" s="117"/>
      <c r="BI610" s="117"/>
      <c r="BJ610" s="117"/>
      <c r="BK610" s="117"/>
      <c r="BL610" s="117"/>
      <c r="BM610" s="117"/>
      <c r="BN610" s="117"/>
      <c r="BO610" s="117"/>
      <c r="BP610" s="117"/>
      <c r="BQ610" s="117"/>
      <c r="BR610" s="117"/>
      <c r="BS610" s="117"/>
      <c r="BT610" s="117"/>
      <c r="BU610" s="117"/>
      <c r="BV610" s="117"/>
      <c r="BW610" s="117"/>
      <c r="BX610" s="117"/>
      <c r="BY610" s="117"/>
      <c r="BZ610" s="117"/>
      <c r="CA610" s="117"/>
      <c r="CB610" s="117"/>
      <c r="CC610" s="117"/>
      <c r="CD610" s="117"/>
      <c r="CE610" s="117"/>
      <c r="CF610" s="117"/>
      <c r="CG610" s="117"/>
      <c r="CH610" s="117"/>
      <c r="CI610" s="117"/>
      <c r="CJ610" s="117"/>
      <c r="CK610" s="117"/>
      <c r="CL610" s="117"/>
      <c r="CM610" s="117"/>
      <c r="CN610" s="117"/>
      <c r="CO610" s="117"/>
      <c r="CP610" s="117"/>
      <c r="CQ610" s="117"/>
      <c r="CR610" s="117"/>
      <c r="CS610" s="117"/>
      <c r="CT610" s="117"/>
      <c r="CU610" s="117"/>
      <c r="CV610" s="117"/>
      <c r="CW610" s="117"/>
    </row>
    <row r="611" spans="1:101" s="279" customFormat="1" x14ac:dyDescent="0.2">
      <c r="A611" s="249">
        <f t="shared" si="150"/>
        <v>553</v>
      </c>
      <c r="B611" s="249" t="s">
        <v>2057</v>
      </c>
      <c r="C611" s="232" t="s">
        <v>1943</v>
      </c>
      <c r="D611" s="286" t="s">
        <v>1552</v>
      </c>
      <c r="E611" s="283" t="s">
        <v>1553</v>
      </c>
      <c r="F611" s="283"/>
      <c r="G611" s="284">
        <f t="shared" si="165"/>
        <v>52</v>
      </c>
      <c r="H611" s="284">
        <f t="shared" si="166"/>
        <v>66</v>
      </c>
      <c r="I611" s="284">
        <v>15</v>
      </c>
      <c r="J611" s="284" t="s">
        <v>18</v>
      </c>
      <c r="K611" s="283"/>
      <c r="L611" s="284" t="s">
        <v>1547</v>
      </c>
      <c r="M611" s="186"/>
      <c r="N611" s="186"/>
      <c r="O611" s="117"/>
      <c r="P611" s="117"/>
      <c r="Q611" s="117"/>
      <c r="R611" s="117"/>
      <c r="S611" s="117"/>
      <c r="T611" s="117"/>
      <c r="U611" s="117"/>
      <c r="V611" s="117"/>
      <c r="W611" s="117"/>
      <c r="X611" s="117"/>
      <c r="Y611" s="117"/>
      <c r="Z611" s="117"/>
      <c r="AA611" s="117"/>
      <c r="AB611" s="117"/>
      <c r="AC611" s="117"/>
      <c r="AD611" s="117"/>
      <c r="AE611" s="117"/>
      <c r="AF611" s="117"/>
      <c r="AG611" s="117"/>
      <c r="AH611" s="117"/>
      <c r="AI611" s="117"/>
      <c r="AJ611" s="117"/>
      <c r="AK611" s="117"/>
      <c r="AL611" s="117"/>
      <c r="AM611" s="117"/>
      <c r="AN611" s="117"/>
      <c r="AO611" s="117"/>
      <c r="AP611" s="117"/>
      <c r="AQ611" s="117"/>
      <c r="AR611" s="117"/>
      <c r="AS611" s="117"/>
      <c r="AT611" s="117"/>
      <c r="AU611" s="117"/>
      <c r="AV611" s="117"/>
      <c r="AW611" s="117"/>
      <c r="AX611" s="117"/>
      <c r="AY611" s="117"/>
      <c r="AZ611" s="117"/>
      <c r="BA611" s="117"/>
      <c r="BB611" s="117"/>
      <c r="BC611" s="117"/>
      <c r="BD611" s="117"/>
      <c r="BE611" s="117"/>
      <c r="BF611" s="117"/>
      <c r="BG611" s="117"/>
      <c r="BH611" s="117"/>
      <c r="BI611" s="117"/>
      <c r="BJ611" s="117"/>
      <c r="BK611" s="117"/>
      <c r="BL611" s="117"/>
      <c r="BM611" s="117"/>
      <c r="BN611" s="117"/>
      <c r="BO611" s="117"/>
      <c r="BP611" s="117"/>
      <c r="BQ611" s="117"/>
      <c r="BR611" s="117"/>
      <c r="BS611" s="117"/>
      <c r="BT611" s="117"/>
      <c r="BU611" s="117"/>
      <c r="BV611" s="117"/>
      <c r="BW611" s="117"/>
      <c r="BX611" s="117"/>
      <c r="BY611" s="117"/>
      <c r="BZ611" s="117"/>
      <c r="CA611" s="117"/>
      <c r="CB611" s="117"/>
      <c r="CC611" s="117"/>
      <c r="CD611" s="117"/>
      <c r="CE611" s="117"/>
      <c r="CF611" s="117"/>
      <c r="CG611" s="117"/>
      <c r="CH611" s="117"/>
      <c r="CI611" s="117"/>
      <c r="CJ611" s="117"/>
      <c r="CK611" s="117"/>
      <c r="CL611" s="117"/>
      <c r="CM611" s="117"/>
      <c r="CN611" s="117"/>
      <c r="CO611" s="117"/>
      <c r="CP611" s="117"/>
      <c r="CQ611" s="117"/>
      <c r="CR611" s="117"/>
      <c r="CS611" s="117"/>
      <c r="CT611" s="117"/>
      <c r="CU611" s="117"/>
      <c r="CV611" s="117"/>
      <c r="CW611" s="117"/>
    </row>
    <row r="612" spans="1:101" s="279" customFormat="1" x14ac:dyDescent="0.2">
      <c r="A612" s="249">
        <f t="shared" si="150"/>
        <v>554</v>
      </c>
      <c r="B612" s="249" t="s">
        <v>2058</v>
      </c>
      <c r="C612" s="232" t="s">
        <v>1944</v>
      </c>
      <c r="D612" s="286" t="s">
        <v>1554</v>
      </c>
      <c r="E612" s="283" t="s">
        <v>1555</v>
      </c>
      <c r="F612" s="283"/>
      <c r="G612" s="284">
        <f t="shared" si="165"/>
        <v>67</v>
      </c>
      <c r="H612" s="284">
        <f t="shared" si="166"/>
        <v>81</v>
      </c>
      <c r="I612" s="284">
        <v>15</v>
      </c>
      <c r="J612" s="284" t="s">
        <v>18</v>
      </c>
      <c r="K612" s="283"/>
      <c r="L612" s="284" t="s">
        <v>1556</v>
      </c>
      <c r="M612" s="186"/>
      <c r="N612" s="186" t="s">
        <v>1557</v>
      </c>
      <c r="O612" s="117"/>
      <c r="P612" s="117"/>
      <c r="Q612" s="117"/>
      <c r="R612" s="117"/>
      <c r="S612" s="117"/>
      <c r="T612" s="117"/>
      <c r="U612" s="117"/>
      <c r="V612" s="117"/>
      <c r="W612" s="117"/>
      <c r="X612" s="117"/>
      <c r="Y612" s="117"/>
      <c r="Z612" s="117"/>
      <c r="AA612" s="117"/>
      <c r="AB612" s="117"/>
      <c r="AC612" s="117"/>
      <c r="AD612" s="117"/>
      <c r="AE612" s="117"/>
      <c r="AF612" s="117"/>
      <c r="AG612" s="117"/>
      <c r="AH612" s="117"/>
      <c r="AI612" s="117"/>
      <c r="AJ612" s="117"/>
      <c r="AK612" s="117"/>
      <c r="AL612" s="117"/>
      <c r="AM612" s="117"/>
      <c r="AN612" s="117"/>
      <c r="AO612" s="117"/>
      <c r="AP612" s="117"/>
      <c r="AQ612" s="117"/>
      <c r="AR612" s="117"/>
      <c r="AS612" s="117"/>
      <c r="AT612" s="117"/>
      <c r="AU612" s="117"/>
      <c r="AV612" s="117"/>
      <c r="AW612" s="117"/>
      <c r="AX612" s="117"/>
      <c r="AY612" s="117"/>
      <c r="AZ612" s="117"/>
      <c r="BA612" s="117"/>
      <c r="BB612" s="117"/>
      <c r="BC612" s="117"/>
      <c r="BD612" s="117"/>
      <c r="BE612" s="117"/>
      <c r="BF612" s="117"/>
      <c r="BG612" s="117"/>
      <c r="BH612" s="117"/>
      <c r="BI612" s="117"/>
      <c r="BJ612" s="117"/>
      <c r="BK612" s="117"/>
      <c r="BL612" s="117"/>
      <c r="BM612" s="117"/>
      <c r="BN612" s="117"/>
      <c r="BO612" s="117"/>
      <c r="BP612" s="117"/>
      <c r="BQ612" s="117"/>
      <c r="BR612" s="117"/>
      <c r="BS612" s="117"/>
      <c r="BT612" s="117"/>
      <c r="BU612" s="117"/>
      <c r="BV612" s="117"/>
      <c r="BW612" s="117"/>
      <c r="BX612" s="117"/>
      <c r="BY612" s="117"/>
      <c r="BZ612" s="117"/>
      <c r="CA612" s="117"/>
      <c r="CB612" s="117"/>
      <c r="CC612" s="117"/>
      <c r="CD612" s="117"/>
      <c r="CE612" s="117"/>
      <c r="CF612" s="117"/>
      <c r="CG612" s="117"/>
      <c r="CH612" s="117"/>
      <c r="CI612" s="117"/>
      <c r="CJ612" s="117"/>
      <c r="CK612" s="117"/>
      <c r="CL612" s="117"/>
      <c r="CM612" s="117"/>
      <c r="CN612" s="117"/>
      <c r="CO612" s="117"/>
      <c r="CP612" s="117"/>
      <c r="CQ612" s="117"/>
      <c r="CR612" s="117"/>
      <c r="CS612" s="117"/>
      <c r="CT612" s="117"/>
      <c r="CU612" s="117"/>
      <c r="CV612" s="117"/>
      <c r="CW612" s="117"/>
    </row>
    <row r="613" spans="1:101" s="279" customFormat="1" x14ac:dyDescent="0.2">
      <c r="A613" s="249">
        <f t="shared" si="150"/>
        <v>555</v>
      </c>
      <c r="B613" s="249" t="s">
        <v>2059</v>
      </c>
      <c r="C613" s="232" t="s">
        <v>2061</v>
      </c>
      <c r="D613" s="286" t="s">
        <v>1558</v>
      </c>
      <c r="E613" s="283" t="s">
        <v>1559</v>
      </c>
      <c r="F613" s="283"/>
      <c r="G613" s="284">
        <f t="shared" si="165"/>
        <v>82</v>
      </c>
      <c r="H613" s="284">
        <f t="shared" si="166"/>
        <v>88</v>
      </c>
      <c r="I613" s="284">
        <v>7</v>
      </c>
      <c r="J613" s="284" t="s">
        <v>18</v>
      </c>
      <c r="K613" s="283"/>
      <c r="L613" s="284" t="s">
        <v>1529</v>
      </c>
      <c r="M613" s="186"/>
      <c r="N613" s="186"/>
      <c r="O613" s="117"/>
      <c r="P613" s="117"/>
      <c r="Q613" s="117"/>
      <c r="R613" s="117"/>
      <c r="S613" s="117"/>
      <c r="T613" s="117"/>
      <c r="U613" s="117"/>
      <c r="V613" s="117"/>
      <c r="W613" s="117"/>
      <c r="X613" s="117"/>
      <c r="Y613" s="117"/>
      <c r="Z613" s="117"/>
      <c r="AA613" s="117"/>
      <c r="AB613" s="117"/>
      <c r="AC613" s="117"/>
      <c r="AD613" s="117"/>
      <c r="AE613" s="117"/>
      <c r="AF613" s="117"/>
      <c r="AG613" s="117"/>
      <c r="AH613" s="117"/>
      <c r="AI613" s="117"/>
      <c r="AJ613" s="117"/>
      <c r="AK613" s="117"/>
      <c r="AL613" s="117"/>
      <c r="AM613" s="117"/>
      <c r="AN613" s="117"/>
      <c r="AO613" s="117"/>
      <c r="AP613" s="117"/>
      <c r="AQ613" s="117"/>
      <c r="AR613" s="117"/>
      <c r="AS613" s="117"/>
      <c r="AT613" s="117"/>
      <c r="AU613" s="117"/>
      <c r="AV613" s="117"/>
      <c r="AW613" s="117"/>
      <c r="AX613" s="117"/>
      <c r="AY613" s="117"/>
      <c r="AZ613" s="117"/>
      <c r="BA613" s="117"/>
      <c r="BB613" s="117"/>
      <c r="BC613" s="117"/>
      <c r="BD613" s="117"/>
      <c r="BE613" s="117"/>
      <c r="BF613" s="117"/>
      <c r="BG613" s="117"/>
      <c r="BH613" s="117"/>
      <c r="BI613" s="117"/>
      <c r="BJ613" s="117"/>
      <c r="BK613" s="117"/>
      <c r="BL613" s="117"/>
      <c r="BM613" s="117"/>
      <c r="BN613" s="117"/>
      <c r="BO613" s="117"/>
      <c r="BP613" s="117"/>
      <c r="BQ613" s="117"/>
      <c r="BR613" s="117"/>
      <c r="BS613" s="117"/>
      <c r="BT613" s="117"/>
      <c r="BU613" s="117"/>
      <c r="BV613" s="117"/>
      <c r="BW613" s="117"/>
      <c r="BX613" s="117"/>
      <c r="BY613" s="117"/>
      <c r="BZ613" s="117"/>
      <c r="CA613" s="117"/>
      <c r="CB613" s="117"/>
      <c r="CC613" s="117"/>
      <c r="CD613" s="117"/>
      <c r="CE613" s="117"/>
      <c r="CF613" s="117"/>
      <c r="CG613" s="117"/>
      <c r="CH613" s="117"/>
      <c r="CI613" s="117"/>
      <c r="CJ613" s="117"/>
      <c r="CK613" s="117"/>
      <c r="CL613" s="117"/>
      <c r="CM613" s="117"/>
      <c r="CN613" s="117"/>
      <c r="CO613" s="117"/>
      <c r="CP613" s="117"/>
      <c r="CQ613" s="117"/>
      <c r="CR613" s="117"/>
      <c r="CS613" s="117"/>
      <c r="CT613" s="117"/>
      <c r="CU613" s="117"/>
      <c r="CV613" s="117"/>
      <c r="CW613" s="117"/>
    </row>
    <row r="614" spans="1:101" s="279" customFormat="1" x14ac:dyDescent="0.2">
      <c r="A614" s="249">
        <f t="shared" si="150"/>
        <v>556</v>
      </c>
      <c r="B614" s="249" t="s">
        <v>2060</v>
      </c>
      <c r="C614" s="232" t="s">
        <v>2062</v>
      </c>
      <c r="D614" s="286" t="s">
        <v>1895</v>
      </c>
      <c r="E614" s="283" t="s">
        <v>1560</v>
      </c>
      <c r="F614" s="283"/>
      <c r="G614" s="284">
        <f t="shared" si="165"/>
        <v>89</v>
      </c>
      <c r="H614" s="284">
        <f t="shared" si="166"/>
        <v>95</v>
      </c>
      <c r="I614" s="284">
        <v>7</v>
      </c>
      <c r="J614" s="284" t="s">
        <v>18</v>
      </c>
      <c r="K614" s="283"/>
      <c r="L614" s="284" t="s">
        <v>1529</v>
      </c>
      <c r="M614" s="186"/>
      <c r="N614" s="186" t="s">
        <v>1895</v>
      </c>
      <c r="O614" s="117"/>
      <c r="P614" s="117"/>
      <c r="Q614" s="117"/>
      <c r="R614" s="117"/>
      <c r="S614" s="117"/>
      <c r="T614" s="117"/>
      <c r="U614" s="117"/>
      <c r="V614" s="117"/>
      <c r="W614" s="117"/>
      <c r="X614" s="117"/>
      <c r="Y614" s="117"/>
      <c r="Z614" s="117"/>
      <c r="AA614" s="117"/>
      <c r="AB614" s="117"/>
      <c r="AC614" s="117"/>
      <c r="AD614" s="117"/>
      <c r="AE614" s="117"/>
      <c r="AF614" s="117"/>
      <c r="AG614" s="117"/>
      <c r="AH614" s="117"/>
      <c r="AI614" s="117"/>
      <c r="AJ614" s="117"/>
      <c r="AK614" s="117"/>
      <c r="AL614" s="117"/>
      <c r="AM614" s="117"/>
      <c r="AN614" s="117"/>
      <c r="AO614" s="117"/>
      <c r="AP614" s="117"/>
      <c r="AQ614" s="117"/>
      <c r="AR614" s="117"/>
      <c r="AS614" s="117"/>
      <c r="AT614" s="117"/>
      <c r="AU614" s="117"/>
      <c r="AV614" s="117"/>
      <c r="AW614" s="117"/>
      <c r="AX614" s="117"/>
      <c r="AY614" s="117"/>
      <c r="AZ614" s="117"/>
      <c r="BA614" s="117"/>
      <c r="BB614" s="117"/>
      <c r="BC614" s="117"/>
      <c r="BD614" s="117"/>
      <c r="BE614" s="117"/>
      <c r="BF614" s="117"/>
      <c r="BG614" s="117"/>
      <c r="BH614" s="117"/>
      <c r="BI614" s="117"/>
      <c r="BJ614" s="117"/>
      <c r="BK614" s="117"/>
      <c r="BL614" s="117"/>
      <c r="BM614" s="117"/>
      <c r="BN614" s="117"/>
      <c r="BO614" s="117"/>
      <c r="BP614" s="117"/>
      <c r="BQ614" s="117"/>
      <c r="BR614" s="117"/>
      <c r="BS614" s="117"/>
      <c r="BT614" s="117"/>
      <c r="BU614" s="117"/>
      <c r="BV614" s="117"/>
      <c r="BW614" s="117"/>
      <c r="BX614" s="117"/>
      <c r="BY614" s="117"/>
      <c r="BZ614" s="117"/>
      <c r="CA614" s="117"/>
      <c r="CB614" s="117"/>
      <c r="CC614" s="117"/>
      <c r="CD614" s="117"/>
      <c r="CE614" s="117"/>
      <c r="CF614" s="117"/>
      <c r="CG614" s="117"/>
      <c r="CH614" s="117"/>
      <c r="CI614" s="117"/>
      <c r="CJ614" s="117"/>
      <c r="CK614" s="117"/>
      <c r="CL614" s="117"/>
      <c r="CM614" s="117"/>
      <c r="CN614" s="117"/>
      <c r="CO614" s="117"/>
      <c r="CP614" s="117"/>
      <c r="CQ614" s="117"/>
      <c r="CR614" s="117"/>
      <c r="CS614" s="117"/>
      <c r="CT614" s="117"/>
      <c r="CU614" s="117"/>
      <c r="CV614" s="117"/>
      <c r="CW614" s="117"/>
    </row>
    <row r="615" spans="1:101" s="279" customFormat="1" x14ac:dyDescent="0.2">
      <c r="A615" s="249">
        <f t="shared" si="150"/>
        <v>557</v>
      </c>
      <c r="B615" s="249" t="s">
        <v>2064</v>
      </c>
      <c r="C615" s="232" t="s">
        <v>1945</v>
      </c>
      <c r="D615" s="286" t="s">
        <v>1562</v>
      </c>
      <c r="E615" s="283" t="s">
        <v>1563</v>
      </c>
      <c r="F615" s="283"/>
      <c r="G615" s="284">
        <f t="shared" si="165"/>
        <v>96</v>
      </c>
      <c r="H615" s="284">
        <f t="shared" si="166"/>
        <v>110</v>
      </c>
      <c r="I615" s="284">
        <v>15</v>
      </c>
      <c r="J615" s="284" t="s">
        <v>18</v>
      </c>
      <c r="K615" s="283"/>
      <c r="L615" s="284" t="s">
        <v>1547</v>
      </c>
      <c r="M615" s="186"/>
      <c r="N615" s="186"/>
      <c r="O615" s="117"/>
      <c r="P615" s="117"/>
      <c r="Q615" s="117"/>
      <c r="R615" s="117"/>
      <c r="S615" s="117"/>
      <c r="T615" s="117"/>
      <c r="U615" s="117"/>
      <c r="V615" s="117"/>
      <c r="W615" s="117"/>
      <c r="X615" s="117"/>
      <c r="Y615" s="117"/>
      <c r="Z615" s="117"/>
      <c r="AA615" s="117"/>
      <c r="AB615" s="117"/>
      <c r="AC615" s="117"/>
      <c r="AD615" s="117"/>
      <c r="AE615" s="117"/>
      <c r="AF615" s="117"/>
      <c r="AG615" s="117"/>
      <c r="AH615" s="117"/>
      <c r="AI615" s="117"/>
      <c r="AJ615" s="117"/>
      <c r="AK615" s="117"/>
      <c r="AL615" s="117"/>
      <c r="AM615" s="117"/>
      <c r="AN615" s="117"/>
      <c r="AO615" s="117"/>
      <c r="AP615" s="117"/>
      <c r="AQ615" s="117"/>
      <c r="AR615" s="117"/>
      <c r="AS615" s="117"/>
      <c r="AT615" s="117"/>
      <c r="AU615" s="117"/>
      <c r="AV615" s="117"/>
      <c r="AW615" s="117"/>
      <c r="AX615" s="117"/>
      <c r="AY615" s="117"/>
      <c r="AZ615" s="117"/>
      <c r="BA615" s="117"/>
      <c r="BB615" s="117"/>
      <c r="BC615" s="117"/>
      <c r="BD615" s="117"/>
      <c r="BE615" s="117"/>
      <c r="BF615" s="117"/>
      <c r="BG615" s="117"/>
      <c r="BH615" s="117"/>
      <c r="BI615" s="117"/>
      <c r="BJ615" s="117"/>
      <c r="BK615" s="117"/>
      <c r="BL615" s="117"/>
      <c r="BM615" s="117"/>
      <c r="BN615" s="117"/>
      <c r="BO615" s="117"/>
      <c r="BP615" s="117"/>
      <c r="BQ615" s="117"/>
      <c r="BR615" s="117"/>
      <c r="BS615" s="117"/>
      <c r="BT615" s="117"/>
      <c r="BU615" s="117"/>
      <c r="BV615" s="117"/>
      <c r="BW615" s="117"/>
      <c r="BX615" s="117"/>
      <c r="BY615" s="117"/>
      <c r="BZ615" s="117"/>
      <c r="CA615" s="117"/>
      <c r="CB615" s="117"/>
      <c r="CC615" s="117"/>
      <c r="CD615" s="117"/>
      <c r="CE615" s="117"/>
      <c r="CF615" s="117"/>
      <c r="CG615" s="117"/>
      <c r="CH615" s="117"/>
      <c r="CI615" s="117"/>
      <c r="CJ615" s="117"/>
      <c r="CK615" s="117"/>
      <c r="CL615" s="117"/>
      <c r="CM615" s="117"/>
      <c r="CN615" s="117"/>
      <c r="CO615" s="117"/>
      <c r="CP615" s="117"/>
      <c r="CQ615" s="117"/>
      <c r="CR615" s="117"/>
      <c r="CS615" s="117"/>
      <c r="CT615" s="117"/>
      <c r="CU615" s="117"/>
      <c r="CV615" s="117"/>
      <c r="CW615" s="117"/>
    </row>
    <row r="616" spans="1:101" s="279" customFormat="1" x14ac:dyDescent="0.2">
      <c r="A616" s="249">
        <f t="shared" si="150"/>
        <v>558</v>
      </c>
      <c r="B616" s="249" t="s">
        <v>2065</v>
      </c>
      <c r="C616" s="232" t="s">
        <v>2066</v>
      </c>
      <c r="D616" s="286" t="s">
        <v>1897</v>
      </c>
      <c r="E616" s="283" t="s">
        <v>1564</v>
      </c>
      <c r="F616" s="283"/>
      <c r="G616" s="284">
        <f t="shared" si="165"/>
        <v>111</v>
      </c>
      <c r="H616" s="284">
        <f t="shared" si="166"/>
        <v>117</v>
      </c>
      <c r="I616" s="284">
        <v>7</v>
      </c>
      <c r="J616" s="284" t="s">
        <v>18</v>
      </c>
      <c r="K616" s="283"/>
      <c r="L616" s="284" t="s">
        <v>1529</v>
      </c>
      <c r="M616" s="186"/>
      <c r="N616" s="186" t="s">
        <v>1896</v>
      </c>
      <c r="O616" s="117"/>
      <c r="P616" s="117"/>
      <c r="Q616" s="117"/>
      <c r="R616" s="117"/>
      <c r="S616" s="117"/>
      <c r="T616" s="117"/>
      <c r="U616" s="117"/>
      <c r="V616" s="117"/>
      <c r="W616" s="117"/>
      <c r="X616" s="117"/>
      <c r="Y616" s="117"/>
      <c r="Z616" s="117"/>
      <c r="AA616" s="117"/>
      <c r="AB616" s="117"/>
      <c r="AC616" s="117"/>
      <c r="AD616" s="117"/>
      <c r="AE616" s="117"/>
      <c r="AF616" s="117"/>
      <c r="AG616" s="117"/>
      <c r="AH616" s="117"/>
      <c r="AI616" s="117"/>
      <c r="AJ616" s="117"/>
      <c r="AK616" s="117"/>
      <c r="AL616" s="117"/>
      <c r="AM616" s="117"/>
      <c r="AN616" s="117"/>
      <c r="AO616" s="117"/>
      <c r="AP616" s="117"/>
      <c r="AQ616" s="117"/>
      <c r="AR616" s="117"/>
      <c r="AS616" s="117"/>
      <c r="AT616" s="117"/>
      <c r="AU616" s="117"/>
      <c r="AV616" s="117"/>
      <c r="AW616" s="117"/>
      <c r="AX616" s="117"/>
      <c r="AY616" s="117"/>
      <c r="AZ616" s="117"/>
      <c r="BA616" s="117"/>
      <c r="BB616" s="117"/>
      <c r="BC616" s="117"/>
      <c r="BD616" s="117"/>
      <c r="BE616" s="117"/>
      <c r="BF616" s="117"/>
      <c r="BG616" s="117"/>
      <c r="BH616" s="117"/>
      <c r="BI616" s="117"/>
      <c r="BJ616" s="117"/>
      <c r="BK616" s="117"/>
      <c r="BL616" s="117"/>
      <c r="BM616" s="117"/>
      <c r="BN616" s="117"/>
      <c r="BO616" s="117"/>
      <c r="BP616" s="117"/>
      <c r="BQ616" s="117"/>
      <c r="BR616" s="117"/>
      <c r="BS616" s="117"/>
      <c r="BT616" s="117"/>
      <c r="BU616" s="117"/>
      <c r="BV616" s="117"/>
      <c r="BW616" s="117"/>
      <c r="BX616" s="117"/>
      <c r="BY616" s="117"/>
      <c r="BZ616" s="117"/>
      <c r="CA616" s="117"/>
      <c r="CB616" s="117"/>
      <c r="CC616" s="117"/>
      <c r="CD616" s="117"/>
      <c r="CE616" s="117"/>
      <c r="CF616" s="117"/>
      <c r="CG616" s="117"/>
      <c r="CH616" s="117"/>
      <c r="CI616" s="117"/>
      <c r="CJ616" s="117"/>
      <c r="CK616" s="117"/>
      <c r="CL616" s="117"/>
      <c r="CM616" s="117"/>
      <c r="CN616" s="117"/>
      <c r="CO616" s="117"/>
      <c r="CP616" s="117"/>
      <c r="CQ616" s="117"/>
      <c r="CR616" s="117"/>
      <c r="CS616" s="117"/>
      <c r="CT616" s="117"/>
      <c r="CU616" s="117"/>
      <c r="CV616" s="117"/>
      <c r="CW616" s="117"/>
    </row>
    <row r="617" spans="1:101" s="279" customFormat="1" x14ac:dyDescent="0.2">
      <c r="A617" s="249">
        <f t="shared" si="150"/>
        <v>559</v>
      </c>
      <c r="B617" s="249" t="s">
        <v>2067</v>
      </c>
      <c r="C617" s="232" t="s">
        <v>1258</v>
      </c>
      <c r="D617" s="286" t="s">
        <v>1565</v>
      </c>
      <c r="E617" s="283" t="s">
        <v>1566</v>
      </c>
      <c r="F617" s="283"/>
      <c r="G617" s="284">
        <f t="shared" si="165"/>
        <v>118</v>
      </c>
      <c r="H617" s="284">
        <f t="shared" si="166"/>
        <v>124</v>
      </c>
      <c r="I617" s="284">
        <v>7</v>
      </c>
      <c r="J617" s="284" t="s">
        <v>18</v>
      </c>
      <c r="K617" s="283"/>
      <c r="L617" s="284" t="s">
        <v>1529</v>
      </c>
      <c r="M617" s="186"/>
      <c r="N617" s="186"/>
      <c r="O617" s="117"/>
      <c r="P617" s="117"/>
      <c r="Q617" s="117"/>
      <c r="R617" s="117"/>
      <c r="S617" s="117"/>
      <c r="T617" s="117"/>
      <c r="U617" s="117"/>
      <c r="V617" s="117"/>
      <c r="W617" s="117"/>
      <c r="X617" s="117"/>
      <c r="Y617" s="117"/>
      <c r="Z617" s="117"/>
      <c r="AA617" s="117"/>
      <c r="AB617" s="117"/>
      <c r="AC617" s="117"/>
      <c r="AD617" s="117"/>
      <c r="AE617" s="117"/>
      <c r="AF617" s="117"/>
      <c r="AG617" s="117"/>
      <c r="AH617" s="117"/>
      <c r="AI617" s="117"/>
      <c r="AJ617" s="117"/>
      <c r="AK617" s="117"/>
      <c r="AL617" s="117"/>
      <c r="AM617" s="117"/>
      <c r="AN617" s="117"/>
      <c r="AO617" s="117"/>
      <c r="AP617" s="117"/>
      <c r="AQ617" s="117"/>
      <c r="AR617" s="117"/>
      <c r="AS617" s="117"/>
      <c r="AT617" s="117"/>
      <c r="AU617" s="117"/>
      <c r="AV617" s="117"/>
      <c r="AW617" s="117"/>
      <c r="AX617" s="117"/>
      <c r="AY617" s="117"/>
      <c r="AZ617" s="117"/>
      <c r="BA617" s="117"/>
      <c r="BB617" s="117"/>
      <c r="BC617" s="117"/>
      <c r="BD617" s="117"/>
      <c r="BE617" s="117"/>
      <c r="BF617" s="117"/>
      <c r="BG617" s="117"/>
      <c r="BH617" s="117"/>
      <c r="BI617" s="117"/>
      <c r="BJ617" s="117"/>
      <c r="BK617" s="117"/>
      <c r="BL617" s="117"/>
      <c r="BM617" s="117"/>
      <c r="BN617" s="117"/>
      <c r="BO617" s="117"/>
      <c r="BP617" s="117"/>
      <c r="BQ617" s="117"/>
      <c r="BR617" s="117"/>
      <c r="BS617" s="117"/>
      <c r="BT617" s="117"/>
      <c r="BU617" s="117"/>
      <c r="BV617" s="117"/>
      <c r="BW617" s="117"/>
      <c r="BX617" s="117"/>
      <c r="BY617" s="117"/>
      <c r="BZ617" s="117"/>
      <c r="CA617" s="117"/>
      <c r="CB617" s="117"/>
      <c r="CC617" s="117"/>
      <c r="CD617" s="117"/>
      <c r="CE617" s="117"/>
      <c r="CF617" s="117"/>
      <c r="CG617" s="117"/>
      <c r="CH617" s="117"/>
      <c r="CI617" s="117"/>
      <c r="CJ617" s="117"/>
      <c r="CK617" s="117"/>
      <c r="CL617" s="117"/>
      <c r="CM617" s="117"/>
      <c r="CN617" s="117"/>
      <c r="CO617" s="117"/>
      <c r="CP617" s="117"/>
      <c r="CQ617" s="117"/>
      <c r="CR617" s="117"/>
      <c r="CS617" s="117"/>
      <c r="CT617" s="117"/>
      <c r="CU617" s="117"/>
      <c r="CV617" s="117"/>
      <c r="CW617" s="117"/>
    </row>
    <row r="618" spans="1:101" s="279" customFormat="1" x14ac:dyDescent="0.2">
      <c r="A618" s="249">
        <f t="shared" si="150"/>
        <v>560</v>
      </c>
      <c r="B618" s="249" t="s">
        <v>2068</v>
      </c>
      <c r="C618" s="232" t="s">
        <v>1943</v>
      </c>
      <c r="D618" s="286" t="s">
        <v>1567</v>
      </c>
      <c r="E618" s="283" t="s">
        <v>1568</v>
      </c>
      <c r="F618" s="283"/>
      <c r="G618" s="284">
        <f t="shared" si="165"/>
        <v>125</v>
      </c>
      <c r="H618" s="284">
        <f t="shared" si="166"/>
        <v>139</v>
      </c>
      <c r="I618" s="284">
        <v>15</v>
      </c>
      <c r="J618" s="284" t="s">
        <v>18</v>
      </c>
      <c r="K618" s="283"/>
      <c r="L618" s="284" t="s">
        <v>1547</v>
      </c>
      <c r="M618" s="186"/>
      <c r="N618" s="186"/>
      <c r="O618" s="117"/>
      <c r="P618" s="117"/>
      <c r="Q618" s="117"/>
      <c r="R618" s="117"/>
      <c r="S618" s="117"/>
      <c r="T618" s="117"/>
      <c r="U618" s="117"/>
      <c r="V618" s="117"/>
      <c r="W618" s="117"/>
      <c r="X618" s="117"/>
      <c r="Y618" s="117"/>
      <c r="Z618" s="117"/>
      <c r="AA618" s="117"/>
      <c r="AB618" s="117"/>
      <c r="AC618" s="117"/>
      <c r="AD618" s="117"/>
      <c r="AE618" s="117"/>
      <c r="AF618" s="117"/>
      <c r="AG618" s="117"/>
      <c r="AH618" s="117"/>
      <c r="AI618" s="117"/>
      <c r="AJ618" s="117"/>
      <c r="AK618" s="117"/>
      <c r="AL618" s="117"/>
      <c r="AM618" s="117"/>
      <c r="AN618" s="117"/>
      <c r="AO618" s="117"/>
      <c r="AP618" s="117"/>
      <c r="AQ618" s="117"/>
      <c r="AR618" s="117"/>
      <c r="AS618" s="117"/>
      <c r="AT618" s="117"/>
      <c r="AU618" s="117"/>
      <c r="AV618" s="117"/>
      <c r="AW618" s="117"/>
      <c r="AX618" s="117"/>
      <c r="AY618" s="117"/>
      <c r="AZ618" s="117"/>
      <c r="BA618" s="117"/>
      <c r="BB618" s="117"/>
      <c r="BC618" s="117"/>
      <c r="BD618" s="117"/>
      <c r="BE618" s="117"/>
      <c r="BF618" s="117"/>
      <c r="BG618" s="117"/>
      <c r="BH618" s="117"/>
      <c r="BI618" s="117"/>
      <c r="BJ618" s="117"/>
      <c r="BK618" s="117"/>
      <c r="BL618" s="117"/>
      <c r="BM618" s="117"/>
      <c r="BN618" s="117"/>
      <c r="BO618" s="117"/>
      <c r="BP618" s="117"/>
      <c r="BQ618" s="117"/>
      <c r="BR618" s="117"/>
      <c r="BS618" s="117"/>
      <c r="BT618" s="117"/>
      <c r="BU618" s="117"/>
      <c r="BV618" s="117"/>
      <c r="BW618" s="117"/>
      <c r="BX618" s="117"/>
      <c r="BY618" s="117"/>
      <c r="BZ618" s="117"/>
      <c r="CA618" s="117"/>
      <c r="CB618" s="117"/>
      <c r="CC618" s="117"/>
      <c r="CD618" s="117"/>
      <c r="CE618" s="117"/>
      <c r="CF618" s="117"/>
      <c r="CG618" s="117"/>
      <c r="CH618" s="117"/>
      <c r="CI618" s="117"/>
      <c r="CJ618" s="117"/>
      <c r="CK618" s="117"/>
      <c r="CL618" s="117"/>
      <c r="CM618" s="117"/>
      <c r="CN618" s="117"/>
      <c r="CO618" s="117"/>
      <c r="CP618" s="117"/>
      <c r="CQ618" s="117"/>
      <c r="CR618" s="117"/>
      <c r="CS618" s="117"/>
      <c r="CT618" s="117"/>
      <c r="CU618" s="117"/>
      <c r="CV618" s="117"/>
      <c r="CW618" s="117"/>
    </row>
    <row r="619" spans="1:101" s="279" customFormat="1" x14ac:dyDescent="0.2">
      <c r="A619" s="249">
        <f t="shared" si="150"/>
        <v>561</v>
      </c>
      <c r="B619" s="249" t="s">
        <v>2069</v>
      </c>
      <c r="C619" s="232" t="s">
        <v>1944</v>
      </c>
      <c r="D619" s="286" t="s">
        <v>1569</v>
      </c>
      <c r="E619" s="283" t="s">
        <v>1570</v>
      </c>
      <c r="F619" s="283"/>
      <c r="G619" s="284">
        <f t="shared" si="165"/>
        <v>140</v>
      </c>
      <c r="H619" s="284">
        <f t="shared" si="166"/>
        <v>154</v>
      </c>
      <c r="I619" s="284">
        <v>15</v>
      </c>
      <c r="J619" s="284" t="s">
        <v>18</v>
      </c>
      <c r="K619" s="283"/>
      <c r="L619" s="284" t="s">
        <v>1547</v>
      </c>
      <c r="M619" s="186"/>
      <c r="N619" s="186"/>
      <c r="O619" s="117"/>
      <c r="P619" s="117"/>
      <c r="Q619" s="117"/>
      <c r="R619" s="117"/>
      <c r="S619" s="117"/>
      <c r="T619" s="117"/>
      <c r="U619" s="117"/>
      <c r="V619" s="117"/>
      <c r="W619" s="117"/>
      <c r="X619" s="117"/>
      <c r="Y619" s="117"/>
      <c r="Z619" s="117"/>
      <c r="AA619" s="117"/>
      <c r="AB619" s="117"/>
      <c r="AC619" s="117"/>
      <c r="AD619" s="117"/>
      <c r="AE619" s="117"/>
      <c r="AF619" s="117"/>
      <c r="AG619" s="117"/>
      <c r="AH619" s="117"/>
      <c r="AI619" s="117"/>
      <c r="AJ619" s="117"/>
      <c r="AK619" s="117"/>
      <c r="AL619" s="117"/>
      <c r="AM619" s="117"/>
      <c r="AN619" s="117"/>
      <c r="AO619" s="117"/>
      <c r="AP619" s="117"/>
      <c r="AQ619" s="117"/>
      <c r="AR619" s="117"/>
      <c r="AS619" s="117"/>
      <c r="AT619" s="117"/>
      <c r="AU619" s="117"/>
      <c r="AV619" s="117"/>
      <c r="AW619" s="117"/>
      <c r="AX619" s="117"/>
      <c r="AY619" s="117"/>
      <c r="AZ619" s="117"/>
      <c r="BA619" s="117"/>
      <c r="BB619" s="117"/>
      <c r="BC619" s="117"/>
      <c r="BD619" s="117"/>
      <c r="BE619" s="117"/>
      <c r="BF619" s="117"/>
      <c r="BG619" s="117"/>
      <c r="BH619" s="117"/>
      <c r="BI619" s="117"/>
      <c r="BJ619" s="117"/>
      <c r="BK619" s="117"/>
      <c r="BL619" s="117"/>
      <c r="BM619" s="117"/>
      <c r="BN619" s="117"/>
      <c r="BO619" s="117"/>
      <c r="BP619" s="117"/>
      <c r="BQ619" s="117"/>
      <c r="BR619" s="117"/>
      <c r="BS619" s="117"/>
      <c r="BT619" s="117"/>
      <c r="BU619" s="117"/>
      <c r="BV619" s="117"/>
      <c r="BW619" s="117"/>
      <c r="BX619" s="117"/>
      <c r="BY619" s="117"/>
      <c r="BZ619" s="117"/>
      <c r="CA619" s="117"/>
      <c r="CB619" s="117"/>
      <c r="CC619" s="117"/>
      <c r="CD619" s="117"/>
      <c r="CE619" s="117"/>
      <c r="CF619" s="117"/>
      <c r="CG619" s="117"/>
      <c r="CH619" s="117"/>
      <c r="CI619" s="117"/>
      <c r="CJ619" s="117"/>
      <c r="CK619" s="117"/>
      <c r="CL619" s="117"/>
      <c r="CM619" s="117"/>
      <c r="CN619" s="117"/>
      <c r="CO619" s="117"/>
      <c r="CP619" s="117"/>
      <c r="CQ619" s="117"/>
      <c r="CR619" s="117"/>
      <c r="CS619" s="117"/>
      <c r="CT619" s="117"/>
      <c r="CU619" s="117"/>
      <c r="CV619" s="117"/>
      <c r="CW619" s="117"/>
    </row>
    <row r="620" spans="1:101" s="279" customFormat="1" x14ac:dyDescent="0.2">
      <c r="A620" s="249">
        <f t="shared" si="150"/>
        <v>562</v>
      </c>
      <c r="B620" s="249" t="s">
        <v>2070</v>
      </c>
      <c r="C620" s="232" t="s">
        <v>2061</v>
      </c>
      <c r="D620" s="286" t="s">
        <v>1571</v>
      </c>
      <c r="E620" s="283" t="s">
        <v>1572</v>
      </c>
      <c r="F620" s="283"/>
      <c r="G620" s="284">
        <f t="shared" si="165"/>
        <v>155</v>
      </c>
      <c r="H620" s="284">
        <f t="shared" si="166"/>
        <v>161</v>
      </c>
      <c r="I620" s="284">
        <v>7</v>
      </c>
      <c r="J620" s="284" t="s">
        <v>18</v>
      </c>
      <c r="K620" s="283"/>
      <c r="L620" s="284" t="s">
        <v>1529</v>
      </c>
      <c r="M620" s="186"/>
      <c r="N620" s="186"/>
      <c r="O620" s="117"/>
      <c r="P620" s="117"/>
      <c r="Q620" s="117"/>
      <c r="R620" s="117"/>
      <c r="S620" s="117"/>
      <c r="T620" s="117"/>
      <c r="U620" s="117"/>
      <c r="V620" s="117"/>
      <c r="W620" s="117"/>
      <c r="X620" s="117"/>
      <c r="Y620" s="117"/>
      <c r="Z620" s="117"/>
      <c r="AA620" s="117"/>
      <c r="AB620" s="117"/>
      <c r="AC620" s="117"/>
      <c r="AD620" s="117"/>
      <c r="AE620" s="117"/>
      <c r="AF620" s="117"/>
      <c r="AG620" s="117"/>
      <c r="AH620" s="117"/>
      <c r="AI620" s="117"/>
      <c r="AJ620" s="117"/>
      <c r="AK620" s="117"/>
      <c r="AL620" s="117"/>
      <c r="AM620" s="117"/>
      <c r="AN620" s="117"/>
      <c r="AO620" s="117"/>
      <c r="AP620" s="117"/>
      <c r="AQ620" s="117"/>
      <c r="AR620" s="117"/>
      <c r="AS620" s="117"/>
      <c r="AT620" s="117"/>
      <c r="AU620" s="117"/>
      <c r="AV620" s="117"/>
      <c r="AW620" s="117"/>
      <c r="AX620" s="117"/>
      <c r="AY620" s="117"/>
      <c r="AZ620" s="117"/>
      <c r="BA620" s="117"/>
      <c r="BB620" s="117"/>
      <c r="BC620" s="117"/>
      <c r="BD620" s="117"/>
      <c r="BE620" s="117"/>
      <c r="BF620" s="117"/>
      <c r="BG620" s="117"/>
      <c r="BH620" s="117"/>
      <c r="BI620" s="117"/>
      <c r="BJ620" s="117"/>
      <c r="BK620" s="117"/>
      <c r="BL620" s="117"/>
      <c r="BM620" s="117"/>
      <c r="BN620" s="117"/>
      <c r="BO620" s="117"/>
      <c r="BP620" s="117"/>
      <c r="BQ620" s="117"/>
      <c r="BR620" s="117"/>
      <c r="BS620" s="117"/>
      <c r="BT620" s="117"/>
      <c r="BU620" s="117"/>
      <c r="BV620" s="117"/>
      <c r="BW620" s="117"/>
      <c r="BX620" s="117"/>
      <c r="BY620" s="117"/>
      <c r="BZ620" s="117"/>
      <c r="CA620" s="117"/>
      <c r="CB620" s="117"/>
      <c r="CC620" s="117"/>
      <c r="CD620" s="117"/>
      <c r="CE620" s="117"/>
      <c r="CF620" s="117"/>
      <c r="CG620" s="117"/>
      <c r="CH620" s="117"/>
      <c r="CI620" s="117"/>
      <c r="CJ620" s="117"/>
      <c r="CK620" s="117"/>
      <c r="CL620" s="117"/>
      <c r="CM620" s="117"/>
      <c r="CN620" s="117"/>
      <c r="CO620" s="117"/>
      <c r="CP620" s="117"/>
      <c r="CQ620" s="117"/>
      <c r="CR620" s="117"/>
      <c r="CS620" s="117"/>
      <c r="CT620" s="117"/>
      <c r="CU620" s="117"/>
      <c r="CV620" s="117"/>
      <c r="CW620" s="117"/>
    </row>
    <row r="621" spans="1:101" s="279" customFormat="1" x14ac:dyDescent="0.2">
      <c r="A621" s="249">
        <f t="shared" si="150"/>
        <v>563</v>
      </c>
      <c r="B621" s="249" t="s">
        <v>2071</v>
      </c>
      <c r="C621" s="232" t="s">
        <v>2062</v>
      </c>
      <c r="D621" s="286" t="s">
        <v>2072</v>
      </c>
      <c r="E621" s="283" t="s">
        <v>1573</v>
      </c>
      <c r="F621" s="283"/>
      <c r="G621" s="284">
        <f t="shared" si="165"/>
        <v>162</v>
      </c>
      <c r="H621" s="284">
        <f t="shared" si="166"/>
        <v>168</v>
      </c>
      <c r="I621" s="284">
        <v>7</v>
      </c>
      <c r="J621" s="284" t="s">
        <v>18</v>
      </c>
      <c r="K621" s="283"/>
      <c r="L621" s="284" t="s">
        <v>1529</v>
      </c>
      <c r="M621" s="186"/>
      <c r="N621" s="186" t="s">
        <v>1561</v>
      </c>
      <c r="O621" s="117"/>
      <c r="P621" s="117"/>
      <c r="Q621" s="117"/>
      <c r="R621" s="117"/>
      <c r="S621" s="117"/>
      <c r="T621" s="117"/>
      <c r="U621" s="117"/>
      <c r="V621" s="117"/>
      <c r="W621" s="117"/>
      <c r="X621" s="117"/>
      <c r="Y621" s="117"/>
      <c r="Z621" s="117"/>
      <c r="AA621" s="117"/>
      <c r="AB621" s="117"/>
      <c r="AC621" s="117"/>
      <c r="AD621" s="117"/>
      <c r="AE621" s="117"/>
      <c r="AF621" s="117"/>
      <c r="AG621" s="117"/>
      <c r="AH621" s="117"/>
      <c r="AI621" s="117"/>
      <c r="AJ621" s="117"/>
      <c r="AK621" s="117"/>
      <c r="AL621" s="117"/>
      <c r="AM621" s="117"/>
      <c r="AN621" s="117"/>
      <c r="AO621" s="117"/>
      <c r="AP621" s="117"/>
      <c r="AQ621" s="117"/>
      <c r="AR621" s="117"/>
      <c r="AS621" s="117"/>
      <c r="AT621" s="117"/>
      <c r="AU621" s="117"/>
      <c r="AV621" s="117"/>
      <c r="AW621" s="117"/>
      <c r="AX621" s="117"/>
      <c r="AY621" s="117"/>
      <c r="AZ621" s="117"/>
      <c r="BA621" s="117"/>
      <c r="BB621" s="117"/>
      <c r="BC621" s="117"/>
      <c r="BD621" s="117"/>
      <c r="BE621" s="117"/>
      <c r="BF621" s="117"/>
      <c r="BG621" s="117"/>
      <c r="BH621" s="117"/>
      <c r="BI621" s="117"/>
      <c r="BJ621" s="117"/>
      <c r="BK621" s="117"/>
      <c r="BL621" s="117"/>
      <c r="BM621" s="117"/>
      <c r="BN621" s="117"/>
      <c r="BO621" s="117"/>
      <c r="BP621" s="117"/>
      <c r="BQ621" s="117"/>
      <c r="BR621" s="117"/>
      <c r="BS621" s="117"/>
      <c r="BT621" s="117"/>
      <c r="BU621" s="117"/>
      <c r="BV621" s="117"/>
      <c r="BW621" s="117"/>
      <c r="BX621" s="117"/>
      <c r="BY621" s="117"/>
      <c r="BZ621" s="117"/>
      <c r="CA621" s="117"/>
      <c r="CB621" s="117"/>
      <c r="CC621" s="117"/>
      <c r="CD621" s="117"/>
      <c r="CE621" s="117"/>
      <c r="CF621" s="117"/>
      <c r="CG621" s="117"/>
      <c r="CH621" s="117"/>
      <c r="CI621" s="117"/>
      <c r="CJ621" s="117"/>
      <c r="CK621" s="117"/>
      <c r="CL621" s="117"/>
      <c r="CM621" s="117"/>
      <c r="CN621" s="117"/>
      <c r="CO621" s="117"/>
      <c r="CP621" s="117"/>
      <c r="CQ621" s="117"/>
      <c r="CR621" s="117"/>
      <c r="CS621" s="117"/>
      <c r="CT621" s="117"/>
      <c r="CU621" s="117"/>
      <c r="CV621" s="117"/>
      <c r="CW621" s="117"/>
    </row>
    <row r="622" spans="1:101" s="279" customFormat="1" x14ac:dyDescent="0.2">
      <c r="A622" s="249">
        <f t="shared" si="150"/>
        <v>564</v>
      </c>
      <c r="B622" s="249" t="s">
        <v>2073</v>
      </c>
      <c r="C622" s="232" t="s">
        <v>1949</v>
      </c>
      <c r="D622" s="286" t="s">
        <v>1574</v>
      </c>
      <c r="E622" s="283" t="s">
        <v>1575</v>
      </c>
      <c r="F622" s="283"/>
      <c r="G622" s="284">
        <f t="shared" si="165"/>
        <v>169</v>
      </c>
      <c r="H622" s="284">
        <f t="shared" si="166"/>
        <v>183</v>
      </c>
      <c r="I622" s="284">
        <v>15</v>
      </c>
      <c r="J622" s="284" t="s">
        <v>18</v>
      </c>
      <c r="K622" s="283"/>
      <c r="L622" s="284" t="s">
        <v>1547</v>
      </c>
      <c r="M622" s="186"/>
      <c r="N622" s="186"/>
      <c r="O622" s="117"/>
      <c r="P622" s="117"/>
      <c r="Q622" s="117"/>
      <c r="R622" s="117"/>
      <c r="S622" s="117"/>
      <c r="T622" s="117"/>
      <c r="U622" s="117"/>
      <c r="V622" s="117"/>
      <c r="W622" s="117"/>
      <c r="X622" s="117"/>
      <c r="Y622" s="117"/>
      <c r="Z622" s="117"/>
      <c r="AA622" s="117"/>
      <c r="AB622" s="117"/>
      <c r="AC622" s="117"/>
      <c r="AD622" s="117"/>
      <c r="AE622" s="117"/>
      <c r="AF622" s="117"/>
      <c r="AG622" s="117"/>
      <c r="AH622" s="117"/>
      <c r="AI622" s="117"/>
      <c r="AJ622" s="117"/>
      <c r="AK622" s="117"/>
      <c r="AL622" s="117"/>
      <c r="AM622" s="117"/>
      <c r="AN622" s="117"/>
      <c r="AO622" s="117"/>
      <c r="AP622" s="117"/>
      <c r="AQ622" s="117"/>
      <c r="AR622" s="117"/>
      <c r="AS622" s="117"/>
      <c r="AT622" s="117"/>
      <c r="AU622" s="117"/>
      <c r="AV622" s="117"/>
      <c r="AW622" s="117"/>
      <c r="AX622" s="117"/>
      <c r="AY622" s="117"/>
      <c r="AZ622" s="117"/>
      <c r="BA622" s="117"/>
      <c r="BB622" s="117"/>
      <c r="BC622" s="117"/>
      <c r="BD622" s="117"/>
      <c r="BE622" s="117"/>
      <c r="BF622" s="117"/>
      <c r="BG622" s="117"/>
      <c r="BH622" s="117"/>
      <c r="BI622" s="117"/>
      <c r="BJ622" s="117"/>
      <c r="BK622" s="117"/>
      <c r="BL622" s="117"/>
      <c r="BM622" s="117"/>
      <c r="BN622" s="117"/>
      <c r="BO622" s="117"/>
      <c r="BP622" s="117"/>
      <c r="BQ622" s="117"/>
      <c r="BR622" s="117"/>
      <c r="BS622" s="117"/>
      <c r="BT622" s="117"/>
      <c r="BU622" s="117"/>
      <c r="BV622" s="117"/>
      <c r="BW622" s="117"/>
      <c r="BX622" s="117"/>
      <c r="BY622" s="117"/>
      <c r="BZ622" s="117"/>
      <c r="CA622" s="117"/>
      <c r="CB622" s="117"/>
      <c r="CC622" s="117"/>
      <c r="CD622" s="117"/>
      <c r="CE622" s="117"/>
      <c r="CF622" s="117"/>
      <c r="CG622" s="117"/>
      <c r="CH622" s="117"/>
      <c r="CI622" s="117"/>
      <c r="CJ622" s="117"/>
      <c r="CK622" s="117"/>
      <c r="CL622" s="117"/>
      <c r="CM622" s="117"/>
      <c r="CN622" s="117"/>
      <c r="CO622" s="117"/>
      <c r="CP622" s="117"/>
      <c r="CQ622" s="117"/>
      <c r="CR622" s="117"/>
      <c r="CS622" s="117"/>
      <c r="CT622" s="117"/>
      <c r="CU622" s="117"/>
      <c r="CV622" s="117"/>
      <c r="CW622" s="117"/>
    </row>
    <row r="623" spans="1:101" s="279" customFormat="1" ht="25.5" x14ac:dyDescent="0.2">
      <c r="A623" s="249">
        <f t="shared" si="150"/>
        <v>565</v>
      </c>
      <c r="B623" s="249" t="s">
        <v>2074</v>
      </c>
      <c r="C623" s="232" t="s">
        <v>1576</v>
      </c>
      <c r="D623" s="286" t="s">
        <v>1576</v>
      </c>
      <c r="E623" s="283" t="s">
        <v>1577</v>
      </c>
      <c r="F623" s="283"/>
      <c r="G623" s="284">
        <f t="shared" si="165"/>
        <v>184</v>
      </c>
      <c r="H623" s="284">
        <f t="shared" si="166"/>
        <v>198</v>
      </c>
      <c r="I623" s="284">
        <v>15</v>
      </c>
      <c r="J623" s="284" t="s">
        <v>18</v>
      </c>
      <c r="K623" s="283"/>
      <c r="L623" s="284" t="s">
        <v>1556</v>
      </c>
      <c r="M623" s="186"/>
      <c r="N623" s="186" t="s">
        <v>1578</v>
      </c>
      <c r="O623" s="117"/>
      <c r="P623" s="117"/>
      <c r="Q623" s="117"/>
      <c r="R623" s="117"/>
      <c r="S623" s="117"/>
      <c r="T623" s="117"/>
      <c r="U623" s="117"/>
      <c r="V623" s="117"/>
      <c r="W623" s="117"/>
      <c r="X623" s="117"/>
      <c r="Y623" s="117"/>
      <c r="Z623" s="117"/>
      <c r="AA623" s="117"/>
      <c r="AB623" s="117"/>
      <c r="AC623" s="117"/>
      <c r="AD623" s="117"/>
      <c r="AE623" s="117"/>
      <c r="AF623" s="117"/>
      <c r="AG623" s="117"/>
      <c r="AH623" s="117"/>
      <c r="AI623" s="117"/>
      <c r="AJ623" s="117"/>
      <c r="AK623" s="117"/>
      <c r="AL623" s="117"/>
      <c r="AM623" s="117"/>
      <c r="AN623" s="117"/>
      <c r="AO623" s="117"/>
      <c r="AP623" s="117"/>
      <c r="AQ623" s="117"/>
      <c r="AR623" s="117"/>
      <c r="AS623" s="117"/>
      <c r="AT623" s="117"/>
      <c r="AU623" s="117"/>
      <c r="AV623" s="117"/>
      <c r="AW623" s="117"/>
      <c r="AX623" s="117"/>
      <c r="AY623" s="117"/>
      <c r="AZ623" s="117"/>
      <c r="BA623" s="117"/>
      <c r="BB623" s="117"/>
      <c r="BC623" s="117"/>
      <c r="BD623" s="117"/>
      <c r="BE623" s="117"/>
      <c r="BF623" s="117"/>
      <c r="BG623" s="117"/>
      <c r="BH623" s="117"/>
      <c r="BI623" s="117"/>
      <c r="BJ623" s="117"/>
      <c r="BK623" s="117"/>
      <c r="BL623" s="117"/>
      <c r="BM623" s="117"/>
      <c r="BN623" s="117"/>
      <c r="BO623" s="117"/>
      <c r="BP623" s="117"/>
      <c r="BQ623" s="117"/>
      <c r="BR623" s="117"/>
      <c r="BS623" s="117"/>
      <c r="BT623" s="117"/>
      <c r="BU623" s="117"/>
      <c r="BV623" s="117"/>
      <c r="BW623" s="117"/>
      <c r="BX623" s="117"/>
      <c r="BY623" s="117"/>
      <c r="BZ623" s="117"/>
      <c r="CA623" s="117"/>
      <c r="CB623" s="117"/>
      <c r="CC623" s="117"/>
      <c r="CD623" s="117"/>
      <c r="CE623" s="117"/>
      <c r="CF623" s="117"/>
      <c r="CG623" s="117"/>
      <c r="CH623" s="117"/>
      <c r="CI623" s="117"/>
      <c r="CJ623" s="117"/>
      <c r="CK623" s="117"/>
      <c r="CL623" s="117"/>
      <c r="CM623" s="117"/>
      <c r="CN623" s="117"/>
      <c r="CO623" s="117"/>
      <c r="CP623" s="117"/>
      <c r="CQ623" s="117"/>
      <c r="CR623" s="117"/>
      <c r="CS623" s="117"/>
      <c r="CT623" s="117"/>
      <c r="CU623" s="117"/>
      <c r="CV623" s="117"/>
      <c r="CW623" s="117"/>
    </row>
    <row r="624" spans="1:101" s="279" customFormat="1" x14ac:dyDescent="0.2">
      <c r="A624" s="249">
        <f t="shared" si="150"/>
        <v>566</v>
      </c>
      <c r="B624" s="249" t="s">
        <v>2075</v>
      </c>
      <c r="C624" s="232" t="s">
        <v>2076</v>
      </c>
      <c r="D624" s="286" t="s">
        <v>1905</v>
      </c>
      <c r="E624" s="283" t="s">
        <v>1579</v>
      </c>
      <c r="F624" s="283"/>
      <c r="G624" s="284">
        <f t="shared" si="165"/>
        <v>199</v>
      </c>
      <c r="H624" s="284">
        <f t="shared" si="166"/>
        <v>205</v>
      </c>
      <c r="I624" s="284">
        <v>7</v>
      </c>
      <c r="J624" s="284" t="s">
        <v>18</v>
      </c>
      <c r="K624" s="283"/>
      <c r="L624" s="284" t="s">
        <v>1529</v>
      </c>
      <c r="M624" s="186"/>
      <c r="N624" s="186"/>
      <c r="O624" s="117"/>
      <c r="P624" s="117"/>
      <c r="Q624" s="117"/>
      <c r="R624" s="117"/>
      <c r="S624" s="117"/>
      <c r="T624" s="117"/>
      <c r="U624" s="117"/>
      <c r="V624" s="117"/>
      <c r="W624" s="117"/>
      <c r="X624" s="117"/>
      <c r="Y624" s="117"/>
      <c r="Z624" s="117"/>
      <c r="AA624" s="117"/>
      <c r="AB624" s="117"/>
      <c r="AC624" s="117"/>
      <c r="AD624" s="117"/>
      <c r="AE624" s="117"/>
      <c r="AF624" s="117"/>
      <c r="AG624" s="117"/>
      <c r="AH624" s="117"/>
      <c r="AI624" s="117"/>
      <c r="AJ624" s="117"/>
      <c r="AK624" s="117"/>
      <c r="AL624" s="117"/>
      <c r="AM624" s="117"/>
      <c r="AN624" s="117"/>
      <c r="AO624" s="117"/>
      <c r="AP624" s="117"/>
      <c r="AQ624" s="117"/>
      <c r="AR624" s="117"/>
      <c r="AS624" s="117"/>
      <c r="AT624" s="117"/>
      <c r="AU624" s="117"/>
      <c r="AV624" s="117"/>
      <c r="AW624" s="117"/>
      <c r="AX624" s="117"/>
      <c r="AY624" s="117"/>
      <c r="AZ624" s="117"/>
      <c r="BA624" s="117"/>
      <c r="BB624" s="117"/>
      <c r="BC624" s="117"/>
      <c r="BD624" s="117"/>
      <c r="BE624" s="117"/>
      <c r="BF624" s="117"/>
      <c r="BG624" s="117"/>
      <c r="BH624" s="117"/>
      <c r="BI624" s="117"/>
      <c r="BJ624" s="117"/>
      <c r="BK624" s="117"/>
      <c r="BL624" s="117"/>
      <c r="BM624" s="117"/>
      <c r="BN624" s="117"/>
      <c r="BO624" s="117"/>
      <c r="BP624" s="117"/>
      <c r="BQ624" s="117"/>
      <c r="BR624" s="117"/>
      <c r="BS624" s="117"/>
      <c r="BT624" s="117"/>
      <c r="BU624" s="117"/>
      <c r="BV624" s="117"/>
      <c r="BW624" s="117"/>
      <c r="BX624" s="117"/>
      <c r="BY624" s="117"/>
      <c r="BZ624" s="117"/>
      <c r="CA624" s="117"/>
      <c r="CB624" s="117"/>
      <c r="CC624" s="117"/>
      <c r="CD624" s="117"/>
      <c r="CE624" s="117"/>
      <c r="CF624" s="117"/>
      <c r="CG624" s="117"/>
      <c r="CH624" s="117"/>
      <c r="CI624" s="117"/>
      <c r="CJ624" s="117"/>
      <c r="CK624" s="117"/>
      <c r="CL624" s="117"/>
      <c r="CM624" s="117"/>
      <c r="CN624" s="117"/>
      <c r="CO624" s="117"/>
      <c r="CP624" s="117"/>
      <c r="CQ624" s="117"/>
      <c r="CR624" s="117"/>
      <c r="CS624" s="117"/>
      <c r="CT624" s="117"/>
      <c r="CU624" s="117"/>
      <c r="CV624" s="117"/>
      <c r="CW624" s="117"/>
    </row>
    <row r="625" spans="1:101" s="279" customFormat="1" x14ac:dyDescent="0.2">
      <c r="A625" s="249">
        <f t="shared" si="150"/>
        <v>567</v>
      </c>
      <c r="B625" s="249" t="s">
        <v>2077</v>
      </c>
      <c r="C625" s="232" t="s">
        <v>1258</v>
      </c>
      <c r="D625" s="286" t="s">
        <v>1580</v>
      </c>
      <c r="E625" s="283" t="s">
        <v>1581</v>
      </c>
      <c r="F625" s="283"/>
      <c r="G625" s="284">
        <f t="shared" si="165"/>
        <v>206</v>
      </c>
      <c r="H625" s="284">
        <f t="shared" si="166"/>
        <v>212</v>
      </c>
      <c r="I625" s="284">
        <v>7</v>
      </c>
      <c r="J625" s="284" t="s">
        <v>18</v>
      </c>
      <c r="K625" s="283"/>
      <c r="L625" s="284" t="s">
        <v>1529</v>
      </c>
      <c r="M625" s="186"/>
      <c r="N625" s="186" t="s">
        <v>1582</v>
      </c>
      <c r="O625" s="117"/>
      <c r="P625" s="117"/>
      <c r="Q625" s="117"/>
      <c r="R625" s="117"/>
      <c r="S625" s="117"/>
      <c r="T625" s="117"/>
      <c r="U625" s="117"/>
      <c r="V625" s="117"/>
      <c r="W625" s="117"/>
      <c r="X625" s="117"/>
      <c r="Y625" s="117"/>
      <c r="Z625" s="117"/>
      <c r="AA625" s="117"/>
      <c r="AB625" s="117"/>
      <c r="AC625" s="117"/>
      <c r="AD625" s="117"/>
      <c r="AE625" s="117"/>
      <c r="AF625" s="117"/>
      <c r="AG625" s="117"/>
      <c r="AH625" s="117"/>
      <c r="AI625" s="117"/>
      <c r="AJ625" s="117"/>
      <c r="AK625" s="117"/>
      <c r="AL625" s="117"/>
      <c r="AM625" s="117"/>
      <c r="AN625" s="117"/>
      <c r="AO625" s="117"/>
      <c r="AP625" s="117"/>
      <c r="AQ625" s="117"/>
      <c r="AR625" s="117"/>
      <c r="AS625" s="117"/>
      <c r="AT625" s="117"/>
      <c r="AU625" s="117"/>
      <c r="AV625" s="117"/>
      <c r="AW625" s="117"/>
      <c r="AX625" s="117"/>
      <c r="AY625" s="117"/>
      <c r="AZ625" s="117"/>
      <c r="BA625" s="117"/>
      <c r="BB625" s="117"/>
      <c r="BC625" s="117"/>
      <c r="BD625" s="117"/>
      <c r="BE625" s="117"/>
      <c r="BF625" s="117"/>
      <c r="BG625" s="117"/>
      <c r="BH625" s="117"/>
      <c r="BI625" s="117"/>
      <c r="BJ625" s="117"/>
      <c r="BK625" s="117"/>
      <c r="BL625" s="117"/>
      <c r="BM625" s="117"/>
      <c r="BN625" s="117"/>
      <c r="BO625" s="117"/>
      <c r="BP625" s="117"/>
      <c r="BQ625" s="117"/>
      <c r="BR625" s="117"/>
      <c r="BS625" s="117"/>
      <c r="BT625" s="117"/>
      <c r="BU625" s="117"/>
      <c r="BV625" s="117"/>
      <c r="BW625" s="117"/>
      <c r="BX625" s="117"/>
      <c r="BY625" s="117"/>
      <c r="BZ625" s="117"/>
      <c r="CA625" s="117"/>
      <c r="CB625" s="117"/>
      <c r="CC625" s="117"/>
      <c r="CD625" s="117"/>
      <c r="CE625" s="117"/>
      <c r="CF625" s="117"/>
      <c r="CG625" s="117"/>
      <c r="CH625" s="117"/>
      <c r="CI625" s="117"/>
      <c r="CJ625" s="117"/>
      <c r="CK625" s="117"/>
      <c r="CL625" s="117"/>
      <c r="CM625" s="117"/>
      <c r="CN625" s="117"/>
      <c r="CO625" s="117"/>
      <c r="CP625" s="117"/>
      <c r="CQ625" s="117"/>
      <c r="CR625" s="117"/>
      <c r="CS625" s="117"/>
      <c r="CT625" s="117"/>
      <c r="CU625" s="117"/>
      <c r="CV625" s="117"/>
      <c r="CW625" s="117"/>
    </row>
    <row r="626" spans="1:101" s="279" customFormat="1" x14ac:dyDescent="0.2">
      <c r="A626" s="249">
        <f t="shared" si="150"/>
        <v>568</v>
      </c>
      <c r="B626" s="249" t="s">
        <v>2078</v>
      </c>
      <c r="C626" s="232" t="s">
        <v>1943</v>
      </c>
      <c r="D626" s="286" t="s">
        <v>1583</v>
      </c>
      <c r="E626" s="283" t="s">
        <v>1584</v>
      </c>
      <c r="F626" s="283"/>
      <c r="G626" s="284">
        <f t="shared" si="165"/>
        <v>213</v>
      </c>
      <c r="H626" s="284">
        <f t="shared" si="166"/>
        <v>227</v>
      </c>
      <c r="I626" s="284">
        <v>15</v>
      </c>
      <c r="J626" s="284" t="s">
        <v>18</v>
      </c>
      <c r="K626" s="283"/>
      <c r="L626" s="284" t="s">
        <v>1547</v>
      </c>
      <c r="M626" s="186"/>
      <c r="N626" s="186"/>
      <c r="O626" s="117"/>
      <c r="P626" s="117"/>
      <c r="Q626" s="117"/>
      <c r="R626" s="117"/>
      <c r="S626" s="117"/>
      <c r="T626" s="117"/>
      <c r="U626" s="117"/>
      <c r="V626" s="117"/>
      <c r="W626" s="117"/>
      <c r="X626" s="117"/>
      <c r="Y626" s="117"/>
      <c r="Z626" s="117"/>
      <c r="AA626" s="117"/>
      <c r="AB626" s="117"/>
      <c r="AC626" s="117"/>
      <c r="AD626" s="117"/>
      <c r="AE626" s="117"/>
      <c r="AF626" s="117"/>
      <c r="AG626" s="117"/>
      <c r="AH626" s="117"/>
      <c r="AI626" s="117"/>
      <c r="AJ626" s="117"/>
      <c r="AK626" s="117"/>
      <c r="AL626" s="117"/>
      <c r="AM626" s="117"/>
      <c r="AN626" s="117"/>
      <c r="AO626" s="117"/>
      <c r="AP626" s="117"/>
      <c r="AQ626" s="117"/>
      <c r="AR626" s="117"/>
      <c r="AS626" s="117"/>
      <c r="AT626" s="117"/>
      <c r="AU626" s="117"/>
      <c r="AV626" s="117"/>
      <c r="AW626" s="117"/>
      <c r="AX626" s="117"/>
      <c r="AY626" s="117"/>
      <c r="AZ626" s="117"/>
      <c r="BA626" s="117"/>
      <c r="BB626" s="117"/>
      <c r="BC626" s="117"/>
      <c r="BD626" s="117"/>
      <c r="BE626" s="117"/>
      <c r="BF626" s="117"/>
      <c r="BG626" s="117"/>
      <c r="BH626" s="117"/>
      <c r="BI626" s="117"/>
      <c r="BJ626" s="117"/>
      <c r="BK626" s="117"/>
      <c r="BL626" s="117"/>
      <c r="BM626" s="117"/>
      <c r="BN626" s="117"/>
      <c r="BO626" s="117"/>
      <c r="BP626" s="117"/>
      <c r="BQ626" s="117"/>
      <c r="BR626" s="117"/>
      <c r="BS626" s="117"/>
      <c r="BT626" s="117"/>
      <c r="BU626" s="117"/>
      <c r="BV626" s="117"/>
      <c r="BW626" s="117"/>
      <c r="BX626" s="117"/>
      <c r="BY626" s="117"/>
      <c r="BZ626" s="117"/>
      <c r="CA626" s="117"/>
      <c r="CB626" s="117"/>
      <c r="CC626" s="117"/>
      <c r="CD626" s="117"/>
      <c r="CE626" s="117"/>
      <c r="CF626" s="117"/>
      <c r="CG626" s="117"/>
      <c r="CH626" s="117"/>
      <c r="CI626" s="117"/>
      <c r="CJ626" s="117"/>
      <c r="CK626" s="117"/>
      <c r="CL626" s="117"/>
      <c r="CM626" s="117"/>
      <c r="CN626" s="117"/>
      <c r="CO626" s="117"/>
      <c r="CP626" s="117"/>
      <c r="CQ626" s="117"/>
      <c r="CR626" s="117"/>
      <c r="CS626" s="117"/>
      <c r="CT626" s="117"/>
      <c r="CU626" s="117"/>
      <c r="CV626" s="117"/>
      <c r="CW626" s="117"/>
    </row>
    <row r="627" spans="1:101" s="279" customFormat="1" x14ac:dyDescent="0.2">
      <c r="A627" s="249">
        <f t="shared" si="150"/>
        <v>569</v>
      </c>
      <c r="B627" s="249" t="s">
        <v>2079</v>
      </c>
      <c r="C627" s="232" t="s">
        <v>1944</v>
      </c>
      <c r="D627" s="286" t="s">
        <v>1585</v>
      </c>
      <c r="E627" s="283" t="s">
        <v>1586</v>
      </c>
      <c r="F627" s="283"/>
      <c r="G627" s="284">
        <f t="shared" si="165"/>
        <v>228</v>
      </c>
      <c r="H627" s="284">
        <f t="shared" si="166"/>
        <v>242</v>
      </c>
      <c r="I627" s="284">
        <v>15</v>
      </c>
      <c r="J627" s="284" t="s">
        <v>18</v>
      </c>
      <c r="K627" s="283"/>
      <c r="L627" s="284" t="s">
        <v>1547</v>
      </c>
      <c r="M627" s="186"/>
      <c r="N627" s="186"/>
      <c r="O627" s="117"/>
      <c r="P627" s="117"/>
      <c r="Q627" s="117"/>
      <c r="R627" s="117"/>
      <c r="S627" s="117"/>
      <c r="T627" s="117"/>
      <c r="U627" s="117"/>
      <c r="V627" s="117"/>
      <c r="W627" s="117"/>
      <c r="X627" s="117"/>
      <c r="Y627" s="117"/>
      <c r="Z627" s="117"/>
      <c r="AA627" s="117"/>
      <c r="AB627" s="117"/>
      <c r="AC627" s="117"/>
      <c r="AD627" s="117"/>
      <c r="AE627" s="117"/>
      <c r="AF627" s="117"/>
      <c r="AG627" s="117"/>
      <c r="AH627" s="117"/>
      <c r="AI627" s="117"/>
      <c r="AJ627" s="117"/>
      <c r="AK627" s="117"/>
      <c r="AL627" s="117"/>
      <c r="AM627" s="117"/>
      <c r="AN627" s="117"/>
      <c r="AO627" s="117"/>
      <c r="AP627" s="117"/>
      <c r="AQ627" s="117"/>
      <c r="AR627" s="117"/>
      <c r="AS627" s="117"/>
      <c r="AT627" s="117"/>
      <c r="AU627" s="117"/>
      <c r="AV627" s="117"/>
      <c r="AW627" s="117"/>
      <c r="AX627" s="117"/>
      <c r="AY627" s="117"/>
      <c r="AZ627" s="117"/>
      <c r="BA627" s="117"/>
      <c r="BB627" s="117"/>
      <c r="BC627" s="117"/>
      <c r="BD627" s="117"/>
      <c r="BE627" s="117"/>
      <c r="BF627" s="117"/>
      <c r="BG627" s="117"/>
      <c r="BH627" s="117"/>
      <c r="BI627" s="117"/>
      <c r="BJ627" s="117"/>
      <c r="BK627" s="117"/>
      <c r="BL627" s="117"/>
      <c r="BM627" s="117"/>
      <c r="BN627" s="117"/>
      <c r="BO627" s="117"/>
      <c r="BP627" s="117"/>
      <c r="BQ627" s="117"/>
      <c r="BR627" s="117"/>
      <c r="BS627" s="117"/>
      <c r="BT627" s="117"/>
      <c r="BU627" s="117"/>
      <c r="BV627" s="117"/>
      <c r="BW627" s="117"/>
      <c r="BX627" s="117"/>
      <c r="BY627" s="117"/>
      <c r="BZ627" s="117"/>
      <c r="CA627" s="117"/>
      <c r="CB627" s="117"/>
      <c r="CC627" s="117"/>
      <c r="CD627" s="117"/>
      <c r="CE627" s="117"/>
      <c r="CF627" s="117"/>
      <c r="CG627" s="117"/>
      <c r="CH627" s="117"/>
      <c r="CI627" s="117"/>
      <c r="CJ627" s="117"/>
      <c r="CK627" s="117"/>
      <c r="CL627" s="117"/>
      <c r="CM627" s="117"/>
      <c r="CN627" s="117"/>
      <c r="CO627" s="117"/>
      <c r="CP627" s="117"/>
      <c r="CQ627" s="117"/>
      <c r="CR627" s="117"/>
      <c r="CS627" s="117"/>
      <c r="CT627" s="117"/>
      <c r="CU627" s="117"/>
      <c r="CV627" s="117"/>
      <c r="CW627" s="117"/>
    </row>
    <row r="628" spans="1:101" s="279" customFormat="1" x14ac:dyDescent="0.2">
      <c r="A628" s="249">
        <f t="shared" si="150"/>
        <v>570</v>
      </c>
      <c r="B628" s="249" t="s">
        <v>2080</v>
      </c>
      <c r="C628" s="232" t="s">
        <v>2061</v>
      </c>
      <c r="D628" s="286" t="s">
        <v>1587</v>
      </c>
      <c r="E628" s="283" t="s">
        <v>1588</v>
      </c>
      <c r="F628" s="283"/>
      <c r="G628" s="284">
        <f t="shared" si="165"/>
        <v>243</v>
      </c>
      <c r="H628" s="284">
        <f t="shared" si="166"/>
        <v>249</v>
      </c>
      <c r="I628" s="284">
        <v>7</v>
      </c>
      <c r="J628" s="284" t="s">
        <v>18</v>
      </c>
      <c r="K628" s="283"/>
      <c r="L628" s="284" t="s">
        <v>1529</v>
      </c>
      <c r="M628" s="186"/>
      <c r="N628" s="186"/>
      <c r="O628" s="117"/>
      <c r="P628" s="117"/>
      <c r="Q628" s="117"/>
      <c r="R628" s="117"/>
      <c r="S628" s="117"/>
      <c r="T628" s="117"/>
      <c r="U628" s="117"/>
      <c r="V628" s="117"/>
      <c r="W628" s="117"/>
      <c r="X628" s="117"/>
      <c r="Y628" s="117"/>
      <c r="Z628" s="117"/>
      <c r="AA628" s="117"/>
      <c r="AB628" s="117"/>
      <c r="AC628" s="117"/>
      <c r="AD628" s="117"/>
      <c r="AE628" s="117"/>
      <c r="AF628" s="117"/>
      <c r="AG628" s="117"/>
      <c r="AH628" s="117"/>
      <c r="AI628" s="117"/>
      <c r="AJ628" s="117"/>
      <c r="AK628" s="117"/>
      <c r="AL628" s="117"/>
      <c r="AM628" s="117"/>
      <c r="AN628" s="117"/>
      <c r="AO628" s="117"/>
      <c r="AP628" s="117"/>
      <c r="AQ628" s="117"/>
      <c r="AR628" s="117"/>
      <c r="AS628" s="117"/>
      <c r="AT628" s="117"/>
      <c r="AU628" s="117"/>
      <c r="AV628" s="117"/>
      <c r="AW628" s="117"/>
      <c r="AX628" s="117"/>
      <c r="AY628" s="117"/>
      <c r="AZ628" s="117"/>
      <c r="BA628" s="117"/>
      <c r="BB628" s="117"/>
      <c r="BC628" s="117"/>
      <c r="BD628" s="117"/>
      <c r="BE628" s="117"/>
      <c r="BF628" s="117"/>
      <c r="BG628" s="117"/>
      <c r="BH628" s="117"/>
      <c r="BI628" s="117"/>
      <c r="BJ628" s="117"/>
      <c r="BK628" s="117"/>
      <c r="BL628" s="117"/>
      <c r="BM628" s="117"/>
      <c r="BN628" s="117"/>
      <c r="BO628" s="117"/>
      <c r="BP628" s="117"/>
      <c r="BQ628" s="117"/>
      <c r="BR628" s="117"/>
      <c r="BS628" s="117"/>
      <c r="BT628" s="117"/>
      <c r="BU628" s="117"/>
      <c r="BV628" s="117"/>
      <c r="BW628" s="117"/>
      <c r="BX628" s="117"/>
      <c r="BY628" s="117"/>
      <c r="BZ628" s="117"/>
      <c r="CA628" s="117"/>
      <c r="CB628" s="117"/>
      <c r="CC628" s="117"/>
      <c r="CD628" s="117"/>
      <c r="CE628" s="117"/>
      <c r="CF628" s="117"/>
      <c r="CG628" s="117"/>
      <c r="CH628" s="117"/>
      <c r="CI628" s="117"/>
      <c r="CJ628" s="117"/>
      <c r="CK628" s="117"/>
      <c r="CL628" s="117"/>
      <c r="CM628" s="117"/>
      <c r="CN628" s="117"/>
      <c r="CO628" s="117"/>
      <c r="CP628" s="117"/>
      <c r="CQ628" s="117"/>
      <c r="CR628" s="117"/>
      <c r="CS628" s="117"/>
      <c r="CT628" s="117"/>
      <c r="CU628" s="117"/>
      <c r="CV628" s="117"/>
      <c r="CW628" s="117"/>
    </row>
    <row r="629" spans="1:101" s="279" customFormat="1" x14ac:dyDescent="0.2">
      <c r="A629" s="249">
        <f t="shared" si="150"/>
        <v>571</v>
      </c>
      <c r="B629" s="249" t="s">
        <v>2081</v>
      </c>
      <c r="C629" s="232" t="s">
        <v>2062</v>
      </c>
      <c r="D629" s="286" t="s">
        <v>2082</v>
      </c>
      <c r="E629" s="283" t="s">
        <v>1589</v>
      </c>
      <c r="F629" s="283"/>
      <c r="G629" s="284">
        <f t="shared" si="165"/>
        <v>250</v>
      </c>
      <c r="H629" s="284">
        <f t="shared" si="166"/>
        <v>256</v>
      </c>
      <c r="I629" s="284">
        <v>7</v>
      </c>
      <c r="J629" s="284" t="s">
        <v>18</v>
      </c>
      <c r="K629" s="283"/>
      <c r="L629" s="284" t="s">
        <v>1529</v>
      </c>
      <c r="M629" s="186"/>
      <c r="N629" s="186" t="s">
        <v>1561</v>
      </c>
      <c r="O629" s="117"/>
      <c r="P629" s="117"/>
      <c r="Q629" s="117"/>
      <c r="R629" s="117"/>
      <c r="S629" s="117"/>
      <c r="T629" s="117"/>
      <c r="U629" s="117"/>
      <c r="V629" s="117"/>
      <c r="W629" s="117"/>
      <c r="X629" s="117"/>
      <c r="Y629" s="117"/>
      <c r="Z629" s="117"/>
      <c r="AA629" s="117"/>
      <c r="AB629" s="117"/>
      <c r="AC629" s="117"/>
      <c r="AD629" s="117"/>
      <c r="AE629" s="117"/>
      <c r="AF629" s="117"/>
      <c r="AG629" s="117"/>
      <c r="AH629" s="117"/>
      <c r="AI629" s="117"/>
      <c r="AJ629" s="117"/>
      <c r="AK629" s="117"/>
      <c r="AL629" s="117"/>
      <c r="AM629" s="117"/>
      <c r="AN629" s="117"/>
      <c r="AO629" s="117"/>
      <c r="AP629" s="117"/>
      <c r="AQ629" s="117"/>
      <c r="AR629" s="117"/>
      <c r="AS629" s="117"/>
      <c r="AT629" s="117"/>
      <c r="AU629" s="117"/>
      <c r="AV629" s="117"/>
      <c r="AW629" s="117"/>
      <c r="AX629" s="117"/>
      <c r="AY629" s="117"/>
      <c r="AZ629" s="117"/>
      <c r="BA629" s="117"/>
      <c r="BB629" s="117"/>
      <c r="BC629" s="117"/>
      <c r="BD629" s="117"/>
      <c r="BE629" s="117"/>
      <c r="BF629" s="117"/>
      <c r="BG629" s="117"/>
      <c r="BH629" s="117"/>
      <c r="BI629" s="117"/>
      <c r="BJ629" s="117"/>
      <c r="BK629" s="117"/>
      <c r="BL629" s="117"/>
      <c r="BM629" s="117"/>
      <c r="BN629" s="117"/>
      <c r="BO629" s="117"/>
      <c r="BP629" s="117"/>
      <c r="BQ629" s="117"/>
      <c r="BR629" s="117"/>
      <c r="BS629" s="117"/>
      <c r="BT629" s="117"/>
      <c r="BU629" s="117"/>
      <c r="BV629" s="117"/>
      <c r="BW629" s="117"/>
      <c r="BX629" s="117"/>
      <c r="BY629" s="117"/>
      <c r="BZ629" s="117"/>
      <c r="CA629" s="117"/>
      <c r="CB629" s="117"/>
      <c r="CC629" s="117"/>
      <c r="CD629" s="117"/>
      <c r="CE629" s="117"/>
      <c r="CF629" s="117"/>
      <c r="CG629" s="117"/>
      <c r="CH629" s="117"/>
      <c r="CI629" s="117"/>
      <c r="CJ629" s="117"/>
      <c r="CK629" s="117"/>
      <c r="CL629" s="117"/>
      <c r="CM629" s="117"/>
      <c r="CN629" s="117"/>
      <c r="CO629" s="117"/>
      <c r="CP629" s="117"/>
      <c r="CQ629" s="117"/>
      <c r="CR629" s="117"/>
      <c r="CS629" s="117"/>
      <c r="CT629" s="117"/>
      <c r="CU629" s="117"/>
      <c r="CV629" s="117"/>
      <c r="CW629" s="117"/>
    </row>
    <row r="630" spans="1:101" s="279" customFormat="1" ht="51" x14ac:dyDescent="0.2">
      <c r="A630" s="249">
        <f t="shared" si="150"/>
        <v>572</v>
      </c>
      <c r="B630" s="249" t="s">
        <v>2083</v>
      </c>
      <c r="C630" s="232" t="s">
        <v>1959</v>
      </c>
      <c r="D630" s="286" t="s">
        <v>1590</v>
      </c>
      <c r="E630" s="283" t="s">
        <v>1591</v>
      </c>
      <c r="F630" s="283"/>
      <c r="G630" s="284">
        <f t="shared" si="165"/>
        <v>257</v>
      </c>
      <c r="H630" s="284">
        <f t="shared" si="166"/>
        <v>271</v>
      </c>
      <c r="I630" s="284">
        <v>15</v>
      </c>
      <c r="J630" s="284" t="s">
        <v>18</v>
      </c>
      <c r="K630" s="283"/>
      <c r="L630" s="284" t="s">
        <v>1547</v>
      </c>
      <c r="M630" s="186"/>
      <c r="N630" s="186" t="s">
        <v>1592</v>
      </c>
      <c r="O630" s="117"/>
      <c r="P630" s="117"/>
      <c r="Q630" s="117"/>
      <c r="R630" s="117"/>
      <c r="S630" s="117"/>
      <c r="T630" s="117"/>
      <c r="U630" s="117"/>
      <c r="V630" s="117"/>
      <c r="W630" s="117"/>
      <c r="X630" s="117"/>
      <c r="Y630" s="117"/>
      <c r="Z630" s="117"/>
      <c r="AA630" s="117"/>
      <c r="AB630" s="117"/>
      <c r="AC630" s="117"/>
      <c r="AD630" s="117"/>
      <c r="AE630" s="117"/>
      <c r="AF630" s="117"/>
      <c r="AG630" s="117"/>
      <c r="AH630" s="117"/>
      <c r="AI630" s="117"/>
      <c r="AJ630" s="117"/>
      <c r="AK630" s="117"/>
      <c r="AL630" s="117"/>
      <c r="AM630" s="117"/>
      <c r="AN630" s="117"/>
      <c r="AO630" s="117"/>
      <c r="AP630" s="117"/>
      <c r="AQ630" s="117"/>
      <c r="AR630" s="117"/>
      <c r="AS630" s="117"/>
      <c r="AT630" s="117"/>
      <c r="AU630" s="117"/>
      <c r="AV630" s="117"/>
      <c r="AW630" s="117"/>
      <c r="AX630" s="117"/>
      <c r="AY630" s="117"/>
      <c r="AZ630" s="117"/>
      <c r="BA630" s="117"/>
      <c r="BB630" s="117"/>
      <c r="BC630" s="117"/>
      <c r="BD630" s="117"/>
      <c r="BE630" s="117"/>
      <c r="BF630" s="117"/>
      <c r="BG630" s="117"/>
      <c r="BH630" s="117"/>
      <c r="BI630" s="117"/>
      <c r="BJ630" s="117"/>
      <c r="BK630" s="117"/>
      <c r="BL630" s="117"/>
      <c r="BM630" s="117"/>
      <c r="BN630" s="117"/>
      <c r="BO630" s="117"/>
      <c r="BP630" s="117"/>
      <c r="BQ630" s="117"/>
      <c r="BR630" s="117"/>
      <c r="BS630" s="117"/>
      <c r="BT630" s="117"/>
      <c r="BU630" s="117"/>
      <c r="BV630" s="117"/>
      <c r="BW630" s="117"/>
      <c r="BX630" s="117"/>
      <c r="BY630" s="117"/>
      <c r="BZ630" s="117"/>
      <c r="CA630" s="117"/>
      <c r="CB630" s="117"/>
      <c r="CC630" s="117"/>
      <c r="CD630" s="117"/>
      <c r="CE630" s="117"/>
      <c r="CF630" s="117"/>
      <c r="CG630" s="117"/>
      <c r="CH630" s="117"/>
      <c r="CI630" s="117"/>
      <c r="CJ630" s="117"/>
      <c r="CK630" s="117"/>
      <c r="CL630" s="117"/>
      <c r="CM630" s="117"/>
      <c r="CN630" s="117"/>
      <c r="CO630" s="117"/>
      <c r="CP630" s="117"/>
      <c r="CQ630" s="117"/>
      <c r="CR630" s="117"/>
      <c r="CS630" s="117"/>
      <c r="CT630" s="117"/>
      <c r="CU630" s="117"/>
      <c r="CV630" s="117"/>
      <c r="CW630" s="117"/>
    </row>
    <row r="631" spans="1:101" s="279" customFormat="1" x14ac:dyDescent="0.2">
      <c r="A631" s="249">
        <f t="shared" si="150"/>
        <v>573</v>
      </c>
      <c r="B631" s="249" t="s">
        <v>2084</v>
      </c>
      <c r="C631" s="232" t="s">
        <v>2092</v>
      </c>
      <c r="D631" s="286" t="s">
        <v>1593</v>
      </c>
      <c r="E631" s="283" t="s">
        <v>1594</v>
      </c>
      <c r="F631" s="283"/>
      <c r="G631" s="284">
        <f t="shared" si="165"/>
        <v>272</v>
      </c>
      <c r="H631" s="284">
        <f t="shared" si="166"/>
        <v>274</v>
      </c>
      <c r="I631" s="284">
        <v>3</v>
      </c>
      <c r="J631" s="284" t="s">
        <v>18</v>
      </c>
      <c r="K631" s="283"/>
      <c r="L631" s="284"/>
      <c r="M631" s="186"/>
      <c r="N631" s="186" t="s">
        <v>1542</v>
      </c>
      <c r="O631" s="117"/>
      <c r="P631" s="117"/>
      <c r="Q631" s="117"/>
      <c r="R631" s="117"/>
      <c r="S631" s="117"/>
      <c r="T631" s="117"/>
      <c r="U631" s="117"/>
      <c r="V631" s="117"/>
      <c r="W631" s="117"/>
      <c r="X631" s="117"/>
      <c r="Y631" s="117"/>
      <c r="Z631" s="117"/>
      <c r="AA631" s="117"/>
      <c r="AB631" s="117"/>
      <c r="AC631" s="117"/>
      <c r="AD631" s="117"/>
      <c r="AE631" s="117"/>
      <c r="AF631" s="117"/>
      <c r="AG631" s="117"/>
      <c r="AH631" s="117"/>
      <c r="AI631" s="117"/>
      <c r="AJ631" s="117"/>
      <c r="AK631" s="117"/>
      <c r="AL631" s="117"/>
      <c r="AM631" s="117"/>
      <c r="AN631" s="117"/>
      <c r="AO631" s="117"/>
      <c r="AP631" s="117"/>
      <c r="AQ631" s="117"/>
      <c r="AR631" s="117"/>
      <c r="AS631" s="117"/>
      <c r="AT631" s="117"/>
      <c r="AU631" s="117"/>
      <c r="AV631" s="117"/>
      <c r="AW631" s="117"/>
      <c r="AX631" s="117"/>
      <c r="AY631" s="117"/>
      <c r="AZ631" s="117"/>
      <c r="BA631" s="117"/>
      <c r="BB631" s="117"/>
      <c r="BC631" s="117"/>
      <c r="BD631" s="117"/>
      <c r="BE631" s="117"/>
      <c r="BF631" s="117"/>
      <c r="BG631" s="117"/>
      <c r="BH631" s="117"/>
      <c r="BI631" s="117"/>
      <c r="BJ631" s="117"/>
      <c r="BK631" s="117"/>
      <c r="BL631" s="117"/>
      <c r="BM631" s="117"/>
      <c r="BN631" s="117"/>
      <c r="BO631" s="117"/>
      <c r="BP631" s="117"/>
      <c r="BQ631" s="117"/>
      <c r="BR631" s="117"/>
      <c r="BS631" s="117"/>
      <c r="BT631" s="117"/>
      <c r="BU631" s="117"/>
      <c r="BV631" s="117"/>
      <c r="BW631" s="117"/>
      <c r="BX631" s="117"/>
      <c r="BY631" s="117"/>
      <c r="BZ631" s="117"/>
      <c r="CA631" s="117"/>
      <c r="CB631" s="117"/>
      <c r="CC631" s="117"/>
      <c r="CD631" s="117"/>
      <c r="CE631" s="117"/>
      <c r="CF631" s="117"/>
      <c r="CG631" s="117"/>
      <c r="CH631" s="117"/>
      <c r="CI631" s="117"/>
      <c r="CJ631" s="117"/>
      <c r="CK631" s="117"/>
      <c r="CL631" s="117"/>
      <c r="CM631" s="117"/>
      <c r="CN631" s="117"/>
      <c r="CO631" s="117"/>
      <c r="CP631" s="117"/>
      <c r="CQ631" s="117"/>
      <c r="CR631" s="117"/>
      <c r="CS631" s="117"/>
      <c r="CT631" s="117"/>
      <c r="CU631" s="117"/>
      <c r="CV631" s="117"/>
      <c r="CW631" s="117"/>
    </row>
    <row r="632" spans="1:101" s="279" customFormat="1" x14ac:dyDescent="0.2">
      <c r="A632" s="249">
        <f t="shared" si="150"/>
        <v>574</v>
      </c>
      <c r="B632" s="249" t="s">
        <v>2085</v>
      </c>
      <c r="C632" s="232" t="s">
        <v>2093</v>
      </c>
      <c r="D632" s="286" t="s">
        <v>1595</v>
      </c>
      <c r="E632" s="283" t="s">
        <v>1596</v>
      </c>
      <c r="F632" s="283"/>
      <c r="G632" s="284">
        <f t="shared" si="165"/>
        <v>275</v>
      </c>
      <c r="H632" s="284">
        <f t="shared" si="166"/>
        <v>280</v>
      </c>
      <c r="I632" s="284">
        <v>6</v>
      </c>
      <c r="J632" s="284" t="s">
        <v>18</v>
      </c>
      <c r="K632" s="283"/>
      <c r="L632" s="284"/>
      <c r="M632" s="186"/>
      <c r="N632" s="186" t="s">
        <v>1545</v>
      </c>
      <c r="O632" s="117"/>
      <c r="P632" s="117"/>
      <c r="Q632" s="117"/>
      <c r="R632" s="117"/>
      <c r="S632" s="117"/>
      <c r="T632" s="117"/>
      <c r="U632" s="117"/>
      <c r="V632" s="117"/>
      <c r="W632" s="117"/>
      <c r="X632" s="117"/>
      <c r="Y632" s="117"/>
      <c r="Z632" s="117"/>
      <c r="AA632" s="117"/>
      <c r="AB632" s="117"/>
      <c r="AC632" s="117"/>
      <c r="AD632" s="117"/>
      <c r="AE632" s="117"/>
      <c r="AF632" s="117"/>
      <c r="AG632" s="117"/>
      <c r="AH632" s="117"/>
      <c r="AI632" s="117"/>
      <c r="AJ632" s="117"/>
      <c r="AK632" s="117"/>
      <c r="AL632" s="117"/>
      <c r="AM632" s="117"/>
      <c r="AN632" s="117"/>
      <c r="AO632" s="117"/>
      <c r="AP632" s="117"/>
      <c r="AQ632" s="117"/>
      <c r="AR632" s="117"/>
      <c r="AS632" s="117"/>
      <c r="AT632" s="117"/>
      <c r="AU632" s="117"/>
      <c r="AV632" s="117"/>
      <c r="AW632" s="117"/>
      <c r="AX632" s="117"/>
      <c r="AY632" s="117"/>
      <c r="AZ632" s="117"/>
      <c r="BA632" s="117"/>
      <c r="BB632" s="117"/>
      <c r="BC632" s="117"/>
      <c r="BD632" s="117"/>
      <c r="BE632" s="117"/>
      <c r="BF632" s="117"/>
      <c r="BG632" s="117"/>
      <c r="BH632" s="117"/>
      <c r="BI632" s="117"/>
      <c r="BJ632" s="117"/>
      <c r="BK632" s="117"/>
      <c r="BL632" s="117"/>
      <c r="BM632" s="117"/>
      <c r="BN632" s="117"/>
      <c r="BO632" s="117"/>
      <c r="BP632" s="117"/>
      <c r="BQ632" s="117"/>
      <c r="BR632" s="117"/>
      <c r="BS632" s="117"/>
      <c r="BT632" s="117"/>
      <c r="BU632" s="117"/>
      <c r="BV632" s="117"/>
      <c r="BW632" s="117"/>
      <c r="BX632" s="117"/>
      <c r="BY632" s="117"/>
      <c r="BZ632" s="117"/>
      <c r="CA632" s="117"/>
      <c r="CB632" s="117"/>
      <c r="CC632" s="117"/>
      <c r="CD632" s="117"/>
      <c r="CE632" s="117"/>
      <c r="CF632" s="117"/>
      <c r="CG632" s="117"/>
      <c r="CH632" s="117"/>
      <c r="CI632" s="117"/>
      <c r="CJ632" s="117"/>
      <c r="CK632" s="117"/>
      <c r="CL632" s="117"/>
      <c r="CM632" s="117"/>
      <c r="CN632" s="117"/>
      <c r="CO632" s="117"/>
      <c r="CP632" s="117"/>
      <c r="CQ632" s="117"/>
      <c r="CR632" s="117"/>
      <c r="CS632" s="117"/>
      <c r="CT632" s="117"/>
      <c r="CU632" s="117"/>
      <c r="CV632" s="117"/>
      <c r="CW632" s="117"/>
    </row>
    <row r="633" spans="1:101" s="279" customFormat="1" x14ac:dyDescent="0.2">
      <c r="A633" s="249">
        <f t="shared" ref="A633:A651" si="167">A632+1</f>
        <v>575</v>
      </c>
      <c r="B633" s="249" t="s">
        <v>2086</v>
      </c>
      <c r="C633" s="232" t="s">
        <v>2094</v>
      </c>
      <c r="D633" s="286" t="s">
        <v>2100</v>
      </c>
      <c r="E633" s="283" t="s">
        <v>1597</v>
      </c>
      <c r="F633" s="283"/>
      <c r="G633" s="284">
        <f t="shared" si="165"/>
        <v>281</v>
      </c>
      <c r="H633" s="284">
        <f t="shared" si="166"/>
        <v>287</v>
      </c>
      <c r="I633" s="284">
        <v>7</v>
      </c>
      <c r="J633" s="284" t="s">
        <v>18</v>
      </c>
      <c r="K633" s="283"/>
      <c r="L633" s="284" t="s">
        <v>1529</v>
      </c>
      <c r="M633" s="186"/>
      <c r="N633" s="186"/>
      <c r="O633" s="117"/>
      <c r="P633" s="117"/>
      <c r="Q633" s="117"/>
      <c r="R633" s="117"/>
      <c r="S633" s="117"/>
      <c r="T633" s="117"/>
      <c r="U633" s="117"/>
      <c r="V633" s="117"/>
      <c r="W633" s="117"/>
      <c r="X633" s="117"/>
      <c r="Y633" s="117"/>
      <c r="Z633" s="117"/>
      <c r="AA633" s="117"/>
      <c r="AB633" s="117"/>
      <c r="AC633" s="117"/>
      <c r="AD633" s="117"/>
      <c r="AE633" s="117"/>
      <c r="AF633" s="117"/>
      <c r="AG633" s="117"/>
      <c r="AH633" s="117"/>
      <c r="AI633" s="117"/>
      <c r="AJ633" s="117"/>
      <c r="AK633" s="117"/>
      <c r="AL633" s="117"/>
      <c r="AM633" s="117"/>
      <c r="AN633" s="117"/>
      <c r="AO633" s="117"/>
      <c r="AP633" s="117"/>
      <c r="AQ633" s="117"/>
      <c r="AR633" s="117"/>
      <c r="AS633" s="117"/>
      <c r="AT633" s="117"/>
      <c r="AU633" s="117"/>
      <c r="AV633" s="117"/>
      <c r="AW633" s="117"/>
      <c r="AX633" s="117"/>
      <c r="AY633" s="117"/>
      <c r="AZ633" s="117"/>
      <c r="BA633" s="117"/>
      <c r="BB633" s="117"/>
      <c r="BC633" s="117"/>
      <c r="BD633" s="117"/>
      <c r="BE633" s="117"/>
      <c r="BF633" s="117"/>
      <c r="BG633" s="117"/>
      <c r="BH633" s="117"/>
      <c r="BI633" s="117"/>
      <c r="BJ633" s="117"/>
      <c r="BK633" s="117"/>
      <c r="BL633" s="117"/>
      <c r="BM633" s="117"/>
      <c r="BN633" s="117"/>
      <c r="BO633" s="117"/>
      <c r="BP633" s="117"/>
      <c r="BQ633" s="117"/>
      <c r="BR633" s="117"/>
      <c r="BS633" s="117"/>
      <c r="BT633" s="117"/>
      <c r="BU633" s="117"/>
      <c r="BV633" s="117"/>
      <c r="BW633" s="117"/>
      <c r="BX633" s="117"/>
      <c r="BY633" s="117"/>
      <c r="BZ633" s="117"/>
      <c r="CA633" s="117"/>
      <c r="CB633" s="117"/>
      <c r="CC633" s="117"/>
      <c r="CD633" s="117"/>
      <c r="CE633" s="117"/>
      <c r="CF633" s="117"/>
      <c r="CG633" s="117"/>
      <c r="CH633" s="117"/>
      <c r="CI633" s="117"/>
      <c r="CJ633" s="117"/>
      <c r="CK633" s="117"/>
      <c r="CL633" s="117"/>
      <c r="CM633" s="117"/>
      <c r="CN633" s="117"/>
      <c r="CO633" s="117"/>
      <c r="CP633" s="117"/>
      <c r="CQ633" s="117"/>
      <c r="CR633" s="117"/>
      <c r="CS633" s="117"/>
      <c r="CT633" s="117"/>
      <c r="CU633" s="117"/>
      <c r="CV633" s="117"/>
      <c r="CW633" s="117"/>
    </row>
    <row r="634" spans="1:101" s="279" customFormat="1" x14ac:dyDescent="0.2">
      <c r="A634" s="249">
        <f t="shared" si="167"/>
        <v>576</v>
      </c>
      <c r="B634" s="249" t="s">
        <v>2087</v>
      </c>
      <c r="C634" s="232" t="s">
        <v>2095</v>
      </c>
      <c r="D634" s="286" t="s">
        <v>1598</v>
      </c>
      <c r="E634" s="283" t="s">
        <v>1599</v>
      </c>
      <c r="F634" s="283"/>
      <c r="G634" s="284">
        <f t="shared" si="165"/>
        <v>288</v>
      </c>
      <c r="H634" s="284">
        <f t="shared" si="166"/>
        <v>302</v>
      </c>
      <c r="I634" s="284">
        <v>15</v>
      </c>
      <c r="J634" s="284" t="s">
        <v>18</v>
      </c>
      <c r="K634" s="283"/>
      <c r="L634" s="284" t="s">
        <v>1547</v>
      </c>
      <c r="M634" s="186"/>
      <c r="N634" s="186"/>
      <c r="O634" s="117"/>
      <c r="P634" s="117"/>
      <c r="Q634" s="117"/>
      <c r="R634" s="117"/>
      <c r="S634" s="117"/>
      <c r="T634" s="117"/>
      <c r="U634" s="117"/>
      <c r="V634" s="117"/>
      <c r="W634" s="117"/>
      <c r="X634" s="117"/>
      <c r="Y634" s="117"/>
      <c r="Z634" s="117"/>
      <c r="AA634" s="117"/>
      <c r="AB634" s="117"/>
      <c r="AC634" s="117"/>
      <c r="AD634" s="117"/>
      <c r="AE634" s="117"/>
      <c r="AF634" s="117"/>
      <c r="AG634" s="117"/>
      <c r="AH634" s="117"/>
      <c r="AI634" s="117"/>
      <c r="AJ634" s="117"/>
      <c r="AK634" s="117"/>
      <c r="AL634" s="117"/>
      <c r="AM634" s="117"/>
      <c r="AN634" s="117"/>
      <c r="AO634" s="117"/>
      <c r="AP634" s="117"/>
      <c r="AQ634" s="117"/>
      <c r="AR634" s="117"/>
      <c r="AS634" s="117"/>
      <c r="AT634" s="117"/>
      <c r="AU634" s="117"/>
      <c r="AV634" s="117"/>
      <c r="AW634" s="117"/>
      <c r="AX634" s="117"/>
      <c r="AY634" s="117"/>
      <c r="AZ634" s="117"/>
      <c r="BA634" s="117"/>
      <c r="BB634" s="117"/>
      <c r="BC634" s="117"/>
      <c r="BD634" s="117"/>
      <c r="BE634" s="117"/>
      <c r="BF634" s="117"/>
      <c r="BG634" s="117"/>
      <c r="BH634" s="117"/>
      <c r="BI634" s="117"/>
      <c r="BJ634" s="117"/>
      <c r="BK634" s="117"/>
      <c r="BL634" s="117"/>
      <c r="BM634" s="117"/>
      <c r="BN634" s="117"/>
      <c r="BO634" s="117"/>
      <c r="BP634" s="117"/>
      <c r="BQ634" s="117"/>
      <c r="BR634" s="117"/>
      <c r="BS634" s="117"/>
      <c r="BT634" s="117"/>
      <c r="BU634" s="117"/>
      <c r="BV634" s="117"/>
      <c r="BW634" s="117"/>
      <c r="BX634" s="117"/>
      <c r="BY634" s="117"/>
      <c r="BZ634" s="117"/>
      <c r="CA634" s="117"/>
      <c r="CB634" s="117"/>
      <c r="CC634" s="117"/>
      <c r="CD634" s="117"/>
      <c r="CE634" s="117"/>
      <c r="CF634" s="117"/>
      <c r="CG634" s="117"/>
      <c r="CH634" s="117"/>
      <c r="CI634" s="117"/>
      <c r="CJ634" s="117"/>
      <c r="CK634" s="117"/>
      <c r="CL634" s="117"/>
      <c r="CM634" s="117"/>
      <c r="CN634" s="117"/>
      <c r="CO634" s="117"/>
      <c r="CP634" s="117"/>
      <c r="CQ634" s="117"/>
      <c r="CR634" s="117"/>
      <c r="CS634" s="117"/>
      <c r="CT634" s="117"/>
      <c r="CU634" s="117"/>
      <c r="CV634" s="117"/>
      <c r="CW634" s="117"/>
    </row>
    <row r="635" spans="1:101" s="279" customFormat="1" x14ac:dyDescent="0.2">
      <c r="A635" s="249">
        <f t="shared" si="167"/>
        <v>577</v>
      </c>
      <c r="B635" s="249" t="s">
        <v>2088</v>
      </c>
      <c r="C635" s="232" t="s">
        <v>2096</v>
      </c>
      <c r="D635" s="286" t="s">
        <v>2101</v>
      </c>
      <c r="E635" s="283" t="s">
        <v>1600</v>
      </c>
      <c r="F635" s="283"/>
      <c r="G635" s="284">
        <f t="shared" si="165"/>
        <v>303</v>
      </c>
      <c r="H635" s="284">
        <f t="shared" si="166"/>
        <v>309</v>
      </c>
      <c r="I635" s="284">
        <v>7</v>
      </c>
      <c r="J635" s="284" t="s">
        <v>18</v>
      </c>
      <c r="K635" s="283"/>
      <c r="L635" s="284" t="s">
        <v>1529</v>
      </c>
      <c r="M635" s="186"/>
      <c r="N635" s="186"/>
      <c r="O635" s="117"/>
      <c r="P635" s="117"/>
      <c r="Q635" s="117"/>
      <c r="R635" s="117"/>
      <c r="S635" s="117"/>
      <c r="T635" s="117"/>
      <c r="U635" s="117"/>
      <c r="V635" s="117"/>
      <c r="W635" s="117"/>
      <c r="X635" s="117"/>
      <c r="Y635" s="117"/>
      <c r="Z635" s="117"/>
      <c r="AA635" s="117"/>
      <c r="AB635" s="117"/>
      <c r="AC635" s="117"/>
      <c r="AD635" s="117"/>
      <c r="AE635" s="117"/>
      <c r="AF635" s="117"/>
      <c r="AG635" s="117"/>
      <c r="AH635" s="117"/>
      <c r="AI635" s="117"/>
      <c r="AJ635" s="117"/>
      <c r="AK635" s="117"/>
      <c r="AL635" s="117"/>
      <c r="AM635" s="117"/>
      <c r="AN635" s="117"/>
      <c r="AO635" s="117"/>
      <c r="AP635" s="117"/>
      <c r="AQ635" s="117"/>
      <c r="AR635" s="117"/>
      <c r="AS635" s="117"/>
      <c r="AT635" s="117"/>
      <c r="AU635" s="117"/>
      <c r="AV635" s="117"/>
      <c r="AW635" s="117"/>
      <c r="AX635" s="117"/>
      <c r="AY635" s="117"/>
      <c r="AZ635" s="117"/>
      <c r="BA635" s="117"/>
      <c r="BB635" s="117"/>
      <c r="BC635" s="117"/>
      <c r="BD635" s="117"/>
      <c r="BE635" s="117"/>
      <c r="BF635" s="117"/>
      <c r="BG635" s="117"/>
      <c r="BH635" s="117"/>
      <c r="BI635" s="117"/>
      <c r="BJ635" s="117"/>
      <c r="BK635" s="117"/>
      <c r="BL635" s="117"/>
      <c r="BM635" s="117"/>
      <c r="BN635" s="117"/>
      <c r="BO635" s="117"/>
      <c r="BP635" s="117"/>
      <c r="BQ635" s="117"/>
      <c r="BR635" s="117"/>
      <c r="BS635" s="117"/>
      <c r="BT635" s="117"/>
      <c r="BU635" s="117"/>
      <c r="BV635" s="117"/>
      <c r="BW635" s="117"/>
      <c r="BX635" s="117"/>
      <c r="BY635" s="117"/>
      <c r="BZ635" s="117"/>
      <c r="CA635" s="117"/>
      <c r="CB635" s="117"/>
      <c r="CC635" s="117"/>
      <c r="CD635" s="117"/>
      <c r="CE635" s="117"/>
      <c r="CF635" s="117"/>
      <c r="CG635" s="117"/>
      <c r="CH635" s="117"/>
      <c r="CI635" s="117"/>
      <c r="CJ635" s="117"/>
      <c r="CK635" s="117"/>
      <c r="CL635" s="117"/>
      <c r="CM635" s="117"/>
      <c r="CN635" s="117"/>
      <c r="CO635" s="117"/>
      <c r="CP635" s="117"/>
      <c r="CQ635" s="117"/>
      <c r="CR635" s="117"/>
      <c r="CS635" s="117"/>
      <c r="CT635" s="117"/>
      <c r="CU635" s="117"/>
      <c r="CV635" s="117"/>
      <c r="CW635" s="117"/>
    </row>
    <row r="636" spans="1:101" s="279" customFormat="1" x14ac:dyDescent="0.2">
      <c r="A636" s="249">
        <f t="shared" si="167"/>
        <v>578</v>
      </c>
      <c r="B636" s="249" t="s">
        <v>2089</v>
      </c>
      <c r="C636" s="232" t="s">
        <v>2097</v>
      </c>
      <c r="D636" s="286" t="s">
        <v>1601</v>
      </c>
      <c r="E636" s="283" t="s">
        <v>1602</v>
      </c>
      <c r="F636" s="283"/>
      <c r="G636" s="284">
        <f t="shared" si="165"/>
        <v>310</v>
      </c>
      <c r="H636" s="284">
        <f t="shared" si="166"/>
        <v>324</v>
      </c>
      <c r="I636" s="284">
        <v>15</v>
      </c>
      <c r="J636" s="284" t="s">
        <v>18</v>
      </c>
      <c r="K636" s="283"/>
      <c r="L636" s="284" t="s">
        <v>1547</v>
      </c>
      <c r="M636" s="186"/>
      <c r="N636" s="186"/>
      <c r="O636" s="117"/>
      <c r="P636" s="117"/>
      <c r="Q636" s="117"/>
      <c r="R636" s="117"/>
      <c r="S636" s="117"/>
      <c r="T636" s="117"/>
      <c r="U636" s="117"/>
      <c r="V636" s="117"/>
      <c r="W636" s="117"/>
      <c r="X636" s="117"/>
      <c r="Y636" s="117"/>
      <c r="Z636" s="117"/>
      <c r="AA636" s="117"/>
      <c r="AB636" s="117"/>
      <c r="AC636" s="117"/>
      <c r="AD636" s="117"/>
      <c r="AE636" s="117"/>
      <c r="AF636" s="117"/>
      <c r="AG636" s="117"/>
      <c r="AH636" s="117"/>
      <c r="AI636" s="117"/>
      <c r="AJ636" s="117"/>
      <c r="AK636" s="117"/>
      <c r="AL636" s="117"/>
      <c r="AM636" s="117"/>
      <c r="AN636" s="117"/>
      <c r="AO636" s="117"/>
      <c r="AP636" s="117"/>
      <c r="AQ636" s="117"/>
      <c r="AR636" s="117"/>
      <c r="AS636" s="117"/>
      <c r="AT636" s="117"/>
      <c r="AU636" s="117"/>
      <c r="AV636" s="117"/>
      <c r="AW636" s="117"/>
      <c r="AX636" s="117"/>
      <c r="AY636" s="117"/>
      <c r="AZ636" s="117"/>
      <c r="BA636" s="117"/>
      <c r="BB636" s="117"/>
      <c r="BC636" s="117"/>
      <c r="BD636" s="117"/>
      <c r="BE636" s="117"/>
      <c r="BF636" s="117"/>
      <c r="BG636" s="117"/>
      <c r="BH636" s="117"/>
      <c r="BI636" s="117"/>
      <c r="BJ636" s="117"/>
      <c r="BK636" s="117"/>
      <c r="BL636" s="117"/>
      <c r="BM636" s="117"/>
      <c r="BN636" s="117"/>
      <c r="BO636" s="117"/>
      <c r="BP636" s="117"/>
      <c r="BQ636" s="117"/>
      <c r="BR636" s="117"/>
      <c r="BS636" s="117"/>
      <c r="BT636" s="117"/>
      <c r="BU636" s="117"/>
      <c r="BV636" s="117"/>
      <c r="BW636" s="117"/>
      <c r="BX636" s="117"/>
      <c r="BY636" s="117"/>
      <c r="BZ636" s="117"/>
      <c r="CA636" s="117"/>
      <c r="CB636" s="117"/>
      <c r="CC636" s="117"/>
      <c r="CD636" s="117"/>
      <c r="CE636" s="117"/>
      <c r="CF636" s="117"/>
      <c r="CG636" s="117"/>
      <c r="CH636" s="117"/>
      <c r="CI636" s="117"/>
      <c r="CJ636" s="117"/>
      <c r="CK636" s="117"/>
      <c r="CL636" s="117"/>
      <c r="CM636" s="117"/>
      <c r="CN636" s="117"/>
      <c r="CO636" s="117"/>
      <c r="CP636" s="117"/>
      <c r="CQ636" s="117"/>
      <c r="CR636" s="117"/>
      <c r="CS636" s="117"/>
      <c r="CT636" s="117"/>
      <c r="CU636" s="117"/>
      <c r="CV636" s="117"/>
      <c r="CW636" s="117"/>
    </row>
    <row r="637" spans="1:101" s="279" customFormat="1" x14ac:dyDescent="0.2">
      <c r="A637" s="249">
        <f t="shared" si="167"/>
        <v>579</v>
      </c>
      <c r="B637" s="249" t="s">
        <v>2090</v>
      </c>
      <c r="C637" s="232" t="s">
        <v>2098</v>
      </c>
      <c r="D637" s="286" t="s">
        <v>1603</v>
      </c>
      <c r="E637" s="283" t="s">
        <v>1604</v>
      </c>
      <c r="F637" s="283"/>
      <c r="G637" s="284">
        <f t="shared" si="165"/>
        <v>325</v>
      </c>
      <c r="H637" s="284">
        <f t="shared" si="166"/>
        <v>331</v>
      </c>
      <c r="I637" s="284">
        <v>7</v>
      </c>
      <c r="J637" s="284" t="s">
        <v>18</v>
      </c>
      <c r="K637" s="283"/>
      <c r="L637" s="284" t="s">
        <v>1529</v>
      </c>
      <c r="M637" s="186"/>
      <c r="N637" s="186"/>
      <c r="O637" s="117"/>
      <c r="P637" s="117"/>
      <c r="Q637" s="117"/>
      <c r="R637" s="117"/>
      <c r="S637" s="117"/>
      <c r="T637" s="117"/>
      <c r="U637" s="117"/>
      <c r="V637" s="117"/>
      <c r="W637" s="117"/>
      <c r="X637" s="117"/>
      <c r="Y637" s="117"/>
      <c r="Z637" s="117"/>
      <c r="AA637" s="117"/>
      <c r="AB637" s="117"/>
      <c r="AC637" s="117"/>
      <c r="AD637" s="117"/>
      <c r="AE637" s="117"/>
      <c r="AF637" s="117"/>
      <c r="AG637" s="117"/>
      <c r="AH637" s="117"/>
      <c r="AI637" s="117"/>
      <c r="AJ637" s="117"/>
      <c r="AK637" s="117"/>
      <c r="AL637" s="117"/>
      <c r="AM637" s="117"/>
      <c r="AN637" s="117"/>
      <c r="AO637" s="117"/>
      <c r="AP637" s="117"/>
      <c r="AQ637" s="117"/>
      <c r="AR637" s="117"/>
      <c r="AS637" s="117"/>
      <c r="AT637" s="117"/>
      <c r="AU637" s="117"/>
      <c r="AV637" s="117"/>
      <c r="AW637" s="117"/>
      <c r="AX637" s="117"/>
      <c r="AY637" s="117"/>
      <c r="AZ637" s="117"/>
      <c r="BA637" s="117"/>
      <c r="BB637" s="117"/>
      <c r="BC637" s="117"/>
      <c r="BD637" s="117"/>
      <c r="BE637" s="117"/>
      <c r="BF637" s="117"/>
      <c r="BG637" s="117"/>
      <c r="BH637" s="117"/>
      <c r="BI637" s="117"/>
      <c r="BJ637" s="117"/>
      <c r="BK637" s="117"/>
      <c r="BL637" s="117"/>
      <c r="BM637" s="117"/>
      <c r="BN637" s="117"/>
      <c r="BO637" s="117"/>
      <c r="BP637" s="117"/>
      <c r="BQ637" s="117"/>
      <c r="BR637" s="117"/>
      <c r="BS637" s="117"/>
      <c r="BT637" s="117"/>
      <c r="BU637" s="117"/>
      <c r="BV637" s="117"/>
      <c r="BW637" s="117"/>
      <c r="BX637" s="117"/>
      <c r="BY637" s="117"/>
      <c r="BZ637" s="117"/>
      <c r="CA637" s="117"/>
      <c r="CB637" s="117"/>
      <c r="CC637" s="117"/>
      <c r="CD637" s="117"/>
      <c r="CE637" s="117"/>
      <c r="CF637" s="117"/>
      <c r="CG637" s="117"/>
      <c r="CH637" s="117"/>
      <c r="CI637" s="117"/>
      <c r="CJ637" s="117"/>
      <c r="CK637" s="117"/>
      <c r="CL637" s="117"/>
      <c r="CM637" s="117"/>
      <c r="CN637" s="117"/>
      <c r="CO637" s="117"/>
      <c r="CP637" s="117"/>
      <c r="CQ637" s="117"/>
      <c r="CR637" s="117"/>
      <c r="CS637" s="117"/>
      <c r="CT637" s="117"/>
      <c r="CU637" s="117"/>
      <c r="CV637" s="117"/>
      <c r="CW637" s="117"/>
    </row>
    <row r="638" spans="1:101" s="279" customFormat="1" x14ac:dyDescent="0.2">
      <c r="A638" s="249">
        <f>A637+1</f>
        <v>580</v>
      </c>
      <c r="B638" s="249" t="s">
        <v>2091</v>
      </c>
      <c r="C638" s="232" t="s">
        <v>2099</v>
      </c>
      <c r="D638" s="286" t="s">
        <v>1605</v>
      </c>
      <c r="E638" s="283" t="s">
        <v>1606</v>
      </c>
      <c r="F638" s="283"/>
      <c r="G638" s="284">
        <f>H637+1</f>
        <v>332</v>
      </c>
      <c r="H638" s="284">
        <f>H637+I638</f>
        <v>346</v>
      </c>
      <c r="I638" s="284">
        <v>15</v>
      </c>
      <c r="J638" s="284" t="s">
        <v>18</v>
      </c>
      <c r="K638" s="283"/>
      <c r="L638" s="284" t="s">
        <v>1547</v>
      </c>
      <c r="M638" s="186"/>
      <c r="N638" s="186"/>
      <c r="O638" s="117"/>
      <c r="P638" s="117"/>
      <c r="Q638" s="117"/>
      <c r="R638" s="117"/>
      <c r="S638" s="117"/>
      <c r="T638" s="117"/>
      <c r="U638" s="117"/>
      <c r="V638" s="117"/>
      <c r="W638" s="117"/>
      <c r="X638" s="117"/>
      <c r="Y638" s="117"/>
      <c r="Z638" s="117"/>
      <c r="AA638" s="117"/>
      <c r="AB638" s="117"/>
      <c r="AC638" s="117"/>
      <c r="AD638" s="117"/>
      <c r="AE638" s="117"/>
      <c r="AF638" s="117"/>
      <c r="AG638" s="117"/>
      <c r="AH638" s="117"/>
      <c r="AI638" s="117"/>
      <c r="AJ638" s="117"/>
      <c r="AK638" s="117"/>
      <c r="AL638" s="117"/>
      <c r="AM638" s="117"/>
      <c r="AN638" s="117"/>
      <c r="AO638" s="117"/>
      <c r="AP638" s="117"/>
      <c r="AQ638" s="117"/>
      <c r="AR638" s="117"/>
      <c r="AS638" s="117"/>
      <c r="AT638" s="117"/>
      <c r="AU638" s="117"/>
      <c r="AV638" s="117"/>
      <c r="AW638" s="117"/>
      <c r="AX638" s="117"/>
      <c r="AY638" s="117"/>
      <c r="AZ638" s="117"/>
      <c r="BA638" s="117"/>
      <c r="BB638" s="117"/>
      <c r="BC638" s="117"/>
      <c r="BD638" s="117"/>
      <c r="BE638" s="117"/>
      <c r="BF638" s="117"/>
      <c r="BG638" s="117"/>
      <c r="BH638" s="117"/>
      <c r="BI638" s="117"/>
      <c r="BJ638" s="117"/>
      <c r="BK638" s="117"/>
      <c r="BL638" s="117"/>
      <c r="BM638" s="117"/>
      <c r="BN638" s="117"/>
      <c r="BO638" s="117"/>
      <c r="BP638" s="117"/>
      <c r="BQ638" s="117"/>
      <c r="BR638" s="117"/>
      <c r="BS638" s="117"/>
      <c r="BT638" s="117"/>
      <c r="BU638" s="117"/>
      <c r="BV638" s="117"/>
      <c r="BW638" s="117"/>
      <c r="BX638" s="117"/>
      <c r="BY638" s="117"/>
      <c r="BZ638" s="117"/>
      <c r="CA638" s="117"/>
      <c r="CB638" s="117"/>
      <c r="CC638" s="117"/>
      <c r="CD638" s="117"/>
      <c r="CE638" s="117"/>
      <c r="CF638" s="117"/>
      <c r="CG638" s="117"/>
      <c r="CH638" s="117"/>
      <c r="CI638" s="117"/>
      <c r="CJ638" s="117"/>
      <c r="CK638" s="117"/>
      <c r="CL638" s="117"/>
      <c r="CM638" s="117"/>
      <c r="CN638" s="117"/>
      <c r="CO638" s="117"/>
      <c r="CP638" s="117"/>
      <c r="CQ638" s="117"/>
      <c r="CR638" s="117"/>
      <c r="CS638" s="117"/>
      <c r="CT638" s="117"/>
      <c r="CU638" s="117"/>
      <c r="CV638" s="117"/>
      <c r="CW638" s="117"/>
    </row>
    <row r="639" spans="1:101" s="279" customFormat="1" x14ac:dyDescent="0.2">
      <c r="A639" s="307">
        <f t="shared" si="167"/>
        <v>581</v>
      </c>
      <c r="B639" s="313" t="s">
        <v>2013</v>
      </c>
      <c r="C639" s="314" t="s">
        <v>1913</v>
      </c>
      <c r="D639" s="309" t="s">
        <v>2015</v>
      </c>
      <c r="E639" s="310" t="s">
        <v>2017</v>
      </c>
      <c r="F639" s="310"/>
      <c r="G639" s="311">
        <f t="shared" ref="G639:G651" si="168">H638+1</f>
        <v>347</v>
      </c>
      <c r="H639" s="311">
        <f t="shared" ref="H639:H651" si="169">H638+I639</f>
        <v>361</v>
      </c>
      <c r="I639" s="311">
        <v>15</v>
      </c>
      <c r="J639" s="311" t="s">
        <v>18</v>
      </c>
      <c r="K639" s="310"/>
      <c r="L639" s="311" t="s">
        <v>1547</v>
      </c>
      <c r="M639" s="312"/>
      <c r="N639" s="312"/>
      <c r="O639" s="117"/>
      <c r="P639" s="117"/>
      <c r="Q639" s="117"/>
      <c r="R639" s="117"/>
      <c r="S639" s="117"/>
      <c r="T639" s="117"/>
      <c r="U639" s="117"/>
      <c r="V639" s="117"/>
      <c r="W639" s="117"/>
      <c r="X639" s="117"/>
      <c r="Y639" s="117"/>
      <c r="Z639" s="117"/>
      <c r="AA639" s="117"/>
      <c r="AB639" s="117"/>
      <c r="AC639" s="117"/>
      <c r="AD639" s="117"/>
      <c r="AE639" s="117"/>
      <c r="AF639" s="117"/>
      <c r="AG639" s="117"/>
      <c r="AH639" s="117"/>
      <c r="AI639" s="117"/>
      <c r="AJ639" s="117"/>
      <c r="AK639" s="117"/>
      <c r="AL639" s="117"/>
      <c r="AM639" s="117"/>
      <c r="AN639" s="117"/>
      <c r="AO639" s="117"/>
      <c r="AP639" s="117"/>
      <c r="AQ639" s="117"/>
      <c r="AR639" s="117"/>
      <c r="AS639" s="117"/>
      <c r="AT639" s="117"/>
      <c r="AU639" s="117"/>
      <c r="AV639" s="117"/>
      <c r="AW639" s="117"/>
      <c r="AX639" s="117"/>
      <c r="AY639" s="117"/>
      <c r="AZ639" s="117"/>
      <c r="BA639" s="117"/>
      <c r="BB639" s="117"/>
      <c r="BC639" s="117"/>
      <c r="BD639" s="117"/>
      <c r="BE639" s="117"/>
      <c r="BF639" s="117"/>
      <c r="BG639" s="117"/>
      <c r="BH639" s="117"/>
      <c r="BI639" s="117"/>
      <c r="BJ639" s="117"/>
      <c r="BK639" s="117"/>
      <c r="BL639" s="117"/>
      <c r="BM639" s="117"/>
      <c r="BN639" s="117"/>
      <c r="BO639" s="117"/>
      <c r="BP639" s="117"/>
      <c r="BQ639" s="117"/>
      <c r="BR639" s="117"/>
      <c r="BS639" s="117"/>
      <c r="BT639" s="117"/>
      <c r="BU639" s="117"/>
      <c r="BV639" s="117"/>
      <c r="BW639" s="117"/>
      <c r="BX639" s="117"/>
      <c r="BY639" s="117"/>
      <c r="BZ639" s="117"/>
      <c r="CA639" s="117"/>
      <c r="CB639" s="117"/>
      <c r="CC639" s="117"/>
      <c r="CD639" s="117"/>
      <c r="CE639" s="117"/>
      <c r="CF639" s="117"/>
      <c r="CG639" s="117"/>
      <c r="CH639" s="117"/>
      <c r="CI639" s="117"/>
      <c r="CJ639" s="117"/>
      <c r="CK639" s="117"/>
      <c r="CL639" s="117"/>
      <c r="CM639" s="117"/>
      <c r="CN639" s="117"/>
      <c r="CO639" s="117"/>
      <c r="CP639" s="117"/>
      <c r="CQ639" s="117"/>
      <c r="CR639" s="117"/>
      <c r="CS639" s="117"/>
      <c r="CT639" s="117"/>
      <c r="CU639" s="117"/>
      <c r="CV639" s="117"/>
      <c r="CW639" s="117"/>
    </row>
    <row r="640" spans="1:101" s="279" customFormat="1" x14ac:dyDescent="0.2">
      <c r="A640" s="307">
        <f t="shared" si="167"/>
        <v>582</v>
      </c>
      <c r="B640" s="313" t="s">
        <v>2014</v>
      </c>
      <c r="C640" s="314" t="s">
        <v>1917</v>
      </c>
      <c r="D640" s="309" t="s">
        <v>2016</v>
      </c>
      <c r="E640" s="310" t="s">
        <v>2018</v>
      </c>
      <c r="F640" s="310"/>
      <c r="G640" s="311">
        <f t="shared" si="168"/>
        <v>362</v>
      </c>
      <c r="H640" s="311">
        <f t="shared" si="169"/>
        <v>376</v>
      </c>
      <c r="I640" s="311">
        <v>15</v>
      </c>
      <c r="J640" s="311" t="s">
        <v>18</v>
      </c>
      <c r="K640" s="310"/>
      <c r="L640" s="311" t="s">
        <v>1547</v>
      </c>
      <c r="M640" s="312"/>
      <c r="N640" s="312"/>
      <c r="O640" s="117"/>
      <c r="P640" s="117"/>
      <c r="Q640" s="117"/>
      <c r="R640" s="117"/>
      <c r="S640" s="117"/>
      <c r="T640" s="117"/>
      <c r="U640" s="117"/>
      <c r="V640" s="117"/>
      <c r="W640" s="117"/>
      <c r="X640" s="117"/>
      <c r="Y640" s="117"/>
      <c r="Z640" s="117"/>
      <c r="AA640" s="117"/>
      <c r="AB640" s="117"/>
      <c r="AC640" s="117"/>
      <c r="AD640" s="117"/>
      <c r="AE640" s="117"/>
      <c r="AF640" s="117"/>
      <c r="AG640" s="117"/>
      <c r="AH640" s="117"/>
      <c r="AI640" s="117"/>
      <c r="AJ640" s="117"/>
      <c r="AK640" s="117"/>
      <c r="AL640" s="117"/>
      <c r="AM640" s="117"/>
      <c r="AN640" s="117"/>
      <c r="AO640" s="117"/>
      <c r="AP640" s="117"/>
      <c r="AQ640" s="117"/>
      <c r="AR640" s="117"/>
      <c r="AS640" s="117"/>
      <c r="AT640" s="117"/>
      <c r="AU640" s="117"/>
      <c r="AV640" s="117"/>
      <c r="AW640" s="117"/>
      <c r="AX640" s="117"/>
      <c r="AY640" s="117"/>
      <c r="AZ640" s="117"/>
      <c r="BA640" s="117"/>
      <c r="BB640" s="117"/>
      <c r="BC640" s="117"/>
      <c r="BD640" s="117"/>
      <c r="BE640" s="117"/>
      <c r="BF640" s="117"/>
      <c r="BG640" s="117"/>
      <c r="BH640" s="117"/>
      <c r="BI640" s="117"/>
      <c r="BJ640" s="117"/>
      <c r="BK640" s="117"/>
      <c r="BL640" s="117"/>
      <c r="BM640" s="117"/>
      <c r="BN640" s="117"/>
      <c r="BO640" s="117"/>
      <c r="BP640" s="117"/>
      <c r="BQ640" s="117"/>
      <c r="BR640" s="117"/>
      <c r="BS640" s="117"/>
      <c r="BT640" s="117"/>
      <c r="BU640" s="117"/>
      <c r="BV640" s="117"/>
      <c r="BW640" s="117"/>
      <c r="BX640" s="117"/>
      <c r="BY640" s="117"/>
      <c r="BZ640" s="117"/>
      <c r="CA640" s="117"/>
      <c r="CB640" s="117"/>
      <c r="CC640" s="117"/>
      <c r="CD640" s="117"/>
      <c r="CE640" s="117"/>
      <c r="CF640" s="117"/>
      <c r="CG640" s="117"/>
      <c r="CH640" s="117"/>
      <c r="CI640" s="117"/>
      <c r="CJ640" s="117"/>
      <c r="CK640" s="117"/>
      <c r="CL640" s="117"/>
      <c r="CM640" s="117"/>
      <c r="CN640" s="117"/>
      <c r="CO640" s="117"/>
      <c r="CP640" s="117"/>
      <c r="CQ640" s="117"/>
      <c r="CR640" s="117"/>
      <c r="CS640" s="117"/>
      <c r="CT640" s="117"/>
      <c r="CU640" s="117"/>
      <c r="CV640" s="117"/>
      <c r="CW640" s="117"/>
    </row>
    <row r="641" spans="1:101" s="279" customFormat="1" x14ac:dyDescent="0.2">
      <c r="A641" s="307">
        <f t="shared" si="167"/>
        <v>583</v>
      </c>
      <c r="B641" s="313" t="s">
        <v>2019</v>
      </c>
      <c r="C641" s="314" t="s">
        <v>2021</v>
      </c>
      <c r="D641" s="309" t="s">
        <v>2023</v>
      </c>
      <c r="E641" s="310" t="s">
        <v>2025</v>
      </c>
      <c r="F641" s="310"/>
      <c r="G641" s="311">
        <f t="shared" si="168"/>
        <v>377</v>
      </c>
      <c r="H641" s="311">
        <f t="shared" si="169"/>
        <v>391</v>
      </c>
      <c r="I641" s="311">
        <v>15</v>
      </c>
      <c r="J641" s="311" t="s">
        <v>18</v>
      </c>
      <c r="K641" s="310"/>
      <c r="L641" s="311" t="s">
        <v>1547</v>
      </c>
      <c r="M641" s="312"/>
      <c r="N641" s="312"/>
      <c r="O641" s="117"/>
      <c r="P641" s="117"/>
      <c r="Q641" s="117"/>
      <c r="R641" s="117"/>
      <c r="S641" s="117"/>
      <c r="T641" s="117"/>
      <c r="U641" s="117"/>
      <c r="V641" s="117"/>
      <c r="W641" s="117"/>
      <c r="X641" s="117"/>
      <c r="Y641" s="117"/>
      <c r="Z641" s="117"/>
      <c r="AA641" s="117"/>
      <c r="AB641" s="117"/>
      <c r="AC641" s="117"/>
      <c r="AD641" s="117"/>
      <c r="AE641" s="117"/>
      <c r="AF641" s="117"/>
      <c r="AG641" s="117"/>
      <c r="AH641" s="117"/>
      <c r="AI641" s="117"/>
      <c r="AJ641" s="117"/>
      <c r="AK641" s="117"/>
      <c r="AL641" s="117"/>
      <c r="AM641" s="117"/>
      <c r="AN641" s="117"/>
      <c r="AO641" s="117"/>
      <c r="AP641" s="117"/>
      <c r="AQ641" s="117"/>
      <c r="AR641" s="117"/>
      <c r="AS641" s="117"/>
      <c r="AT641" s="117"/>
      <c r="AU641" s="117"/>
      <c r="AV641" s="117"/>
      <c r="AW641" s="117"/>
      <c r="AX641" s="117"/>
      <c r="AY641" s="117"/>
      <c r="AZ641" s="117"/>
      <c r="BA641" s="117"/>
      <c r="BB641" s="117"/>
      <c r="BC641" s="117"/>
      <c r="BD641" s="117"/>
      <c r="BE641" s="117"/>
      <c r="BF641" s="117"/>
      <c r="BG641" s="117"/>
      <c r="BH641" s="117"/>
      <c r="BI641" s="117"/>
      <c r="BJ641" s="117"/>
      <c r="BK641" s="117"/>
      <c r="BL641" s="117"/>
      <c r="BM641" s="117"/>
      <c r="BN641" s="117"/>
      <c r="BO641" s="117"/>
      <c r="BP641" s="117"/>
      <c r="BQ641" s="117"/>
      <c r="BR641" s="117"/>
      <c r="BS641" s="117"/>
      <c r="BT641" s="117"/>
      <c r="BU641" s="117"/>
      <c r="BV641" s="117"/>
      <c r="BW641" s="117"/>
      <c r="BX641" s="117"/>
      <c r="BY641" s="117"/>
      <c r="BZ641" s="117"/>
      <c r="CA641" s="117"/>
      <c r="CB641" s="117"/>
      <c r="CC641" s="117"/>
      <c r="CD641" s="117"/>
      <c r="CE641" s="117"/>
      <c r="CF641" s="117"/>
      <c r="CG641" s="117"/>
      <c r="CH641" s="117"/>
      <c r="CI641" s="117"/>
      <c r="CJ641" s="117"/>
      <c r="CK641" s="117"/>
      <c r="CL641" s="117"/>
      <c r="CM641" s="117"/>
      <c r="CN641" s="117"/>
      <c r="CO641" s="117"/>
      <c r="CP641" s="117"/>
      <c r="CQ641" s="117"/>
      <c r="CR641" s="117"/>
      <c r="CS641" s="117"/>
      <c r="CT641" s="117"/>
      <c r="CU641" s="117"/>
      <c r="CV641" s="117"/>
      <c r="CW641" s="117"/>
    </row>
    <row r="642" spans="1:101" s="279" customFormat="1" ht="76.5" x14ac:dyDescent="0.2">
      <c r="A642" s="307">
        <f t="shared" si="167"/>
        <v>584</v>
      </c>
      <c r="B642" s="313" t="s">
        <v>2020</v>
      </c>
      <c r="C642" s="314" t="s">
        <v>2022</v>
      </c>
      <c r="D642" s="309" t="s">
        <v>2024</v>
      </c>
      <c r="E642" s="310" t="s">
        <v>2026</v>
      </c>
      <c r="F642" s="310"/>
      <c r="G642" s="311">
        <f t="shared" si="168"/>
        <v>392</v>
      </c>
      <c r="H642" s="311">
        <f t="shared" si="169"/>
        <v>393</v>
      </c>
      <c r="I642" s="311">
        <v>2</v>
      </c>
      <c r="J642" s="311" t="s">
        <v>18</v>
      </c>
      <c r="K642" s="310"/>
      <c r="L642" s="311"/>
      <c r="M642" s="312"/>
      <c r="N642" s="312" t="s">
        <v>2027</v>
      </c>
      <c r="O642" s="117"/>
      <c r="P642" s="117"/>
      <c r="Q642" s="117"/>
      <c r="R642" s="117"/>
      <c r="S642" s="117"/>
      <c r="T642" s="117"/>
      <c r="U642" s="117"/>
      <c r="V642" s="117"/>
      <c r="W642" s="117"/>
      <c r="X642" s="117"/>
      <c r="Y642" s="117"/>
      <c r="Z642" s="117"/>
      <c r="AA642" s="117"/>
      <c r="AB642" s="117"/>
      <c r="AC642" s="117"/>
      <c r="AD642" s="117"/>
      <c r="AE642" s="117"/>
      <c r="AF642" s="117"/>
      <c r="AG642" s="117"/>
      <c r="AH642" s="117"/>
      <c r="AI642" s="117"/>
      <c r="AJ642" s="117"/>
      <c r="AK642" s="117"/>
      <c r="AL642" s="117"/>
      <c r="AM642" s="117"/>
      <c r="AN642" s="117"/>
      <c r="AO642" s="117"/>
      <c r="AP642" s="117"/>
      <c r="AQ642" s="117"/>
      <c r="AR642" s="117"/>
      <c r="AS642" s="117"/>
      <c r="AT642" s="117"/>
      <c r="AU642" s="117"/>
      <c r="AV642" s="117"/>
      <c r="AW642" s="117"/>
      <c r="AX642" s="117"/>
      <c r="AY642" s="117"/>
      <c r="AZ642" s="117"/>
      <c r="BA642" s="117"/>
      <c r="BB642" s="117"/>
      <c r="BC642" s="117"/>
      <c r="BD642" s="117"/>
      <c r="BE642" s="117"/>
      <c r="BF642" s="117"/>
      <c r="BG642" s="117"/>
      <c r="BH642" s="117"/>
      <c r="BI642" s="117"/>
      <c r="BJ642" s="117"/>
      <c r="BK642" s="117"/>
      <c r="BL642" s="117"/>
      <c r="BM642" s="117"/>
      <c r="BN642" s="117"/>
      <c r="BO642" s="117"/>
      <c r="BP642" s="117"/>
      <c r="BQ642" s="117"/>
      <c r="BR642" s="117"/>
      <c r="BS642" s="117"/>
      <c r="BT642" s="117"/>
      <c r="BU642" s="117"/>
      <c r="BV642" s="117"/>
      <c r="BW642" s="117"/>
      <c r="BX642" s="117"/>
      <c r="BY642" s="117"/>
      <c r="BZ642" s="117"/>
      <c r="CA642" s="117"/>
      <c r="CB642" s="117"/>
      <c r="CC642" s="117"/>
      <c r="CD642" s="117"/>
      <c r="CE642" s="117"/>
      <c r="CF642" s="117"/>
      <c r="CG642" s="117"/>
      <c r="CH642" s="117"/>
      <c r="CI642" s="117"/>
      <c r="CJ642" s="117"/>
      <c r="CK642" s="117"/>
      <c r="CL642" s="117"/>
      <c r="CM642" s="117"/>
      <c r="CN642" s="117"/>
      <c r="CO642" s="117"/>
      <c r="CP642" s="117"/>
      <c r="CQ642" s="117"/>
      <c r="CR642" s="117"/>
      <c r="CS642" s="117"/>
      <c r="CT642" s="117"/>
      <c r="CU642" s="117"/>
      <c r="CV642" s="117"/>
      <c r="CW642" s="117"/>
    </row>
    <row r="643" spans="1:101" s="279" customFormat="1" x14ac:dyDescent="0.2">
      <c r="A643" s="307">
        <f t="shared" si="167"/>
        <v>585</v>
      </c>
      <c r="B643" s="313" t="s">
        <v>2028</v>
      </c>
      <c r="C643" s="314" t="s">
        <v>2031</v>
      </c>
      <c r="D643" s="309" t="s">
        <v>2032</v>
      </c>
      <c r="E643" s="310" t="s">
        <v>2035</v>
      </c>
      <c r="F643" s="310"/>
      <c r="G643" s="311">
        <f t="shared" si="168"/>
        <v>394</v>
      </c>
      <c r="H643" s="311">
        <f t="shared" si="169"/>
        <v>400</v>
      </c>
      <c r="I643" s="311">
        <v>7</v>
      </c>
      <c r="J643" s="311" t="s">
        <v>18</v>
      </c>
      <c r="K643" s="310"/>
      <c r="L643" s="311" t="s">
        <v>1529</v>
      </c>
      <c r="M643" s="312"/>
      <c r="N643" s="312"/>
      <c r="O643" s="117"/>
      <c r="P643" s="117"/>
      <c r="Q643" s="117"/>
      <c r="R643" s="117"/>
      <c r="S643" s="117"/>
      <c r="T643" s="117"/>
      <c r="U643" s="117"/>
      <c r="V643" s="117"/>
      <c r="W643" s="117"/>
      <c r="X643" s="117"/>
      <c r="Y643" s="117"/>
      <c r="Z643" s="117"/>
      <c r="AA643" s="117"/>
      <c r="AB643" s="117"/>
      <c r="AC643" s="117"/>
      <c r="AD643" s="117"/>
      <c r="AE643" s="117"/>
      <c r="AF643" s="117"/>
      <c r="AG643" s="117"/>
      <c r="AH643" s="117"/>
      <c r="AI643" s="117"/>
      <c r="AJ643" s="117"/>
      <c r="AK643" s="117"/>
      <c r="AL643" s="117"/>
      <c r="AM643" s="117"/>
      <c r="AN643" s="117"/>
      <c r="AO643" s="117"/>
      <c r="AP643" s="117"/>
      <c r="AQ643" s="117"/>
      <c r="AR643" s="117"/>
      <c r="AS643" s="117"/>
      <c r="AT643" s="117"/>
      <c r="AU643" s="117"/>
      <c r="AV643" s="117"/>
      <c r="AW643" s="117"/>
      <c r="AX643" s="117"/>
      <c r="AY643" s="117"/>
      <c r="AZ643" s="117"/>
      <c r="BA643" s="117"/>
      <c r="BB643" s="117"/>
      <c r="BC643" s="117"/>
      <c r="BD643" s="117"/>
      <c r="BE643" s="117"/>
      <c r="BF643" s="117"/>
      <c r="BG643" s="117"/>
      <c r="BH643" s="117"/>
      <c r="BI643" s="117"/>
      <c r="BJ643" s="117"/>
      <c r="BK643" s="117"/>
      <c r="BL643" s="117"/>
      <c r="BM643" s="117"/>
      <c r="BN643" s="117"/>
      <c r="BO643" s="117"/>
      <c r="BP643" s="117"/>
      <c r="BQ643" s="117"/>
      <c r="BR643" s="117"/>
      <c r="BS643" s="117"/>
      <c r="BT643" s="117"/>
      <c r="BU643" s="117"/>
      <c r="BV643" s="117"/>
      <c r="BW643" s="117"/>
      <c r="BX643" s="117"/>
      <c r="BY643" s="117"/>
      <c r="BZ643" s="117"/>
      <c r="CA643" s="117"/>
      <c r="CB643" s="117"/>
      <c r="CC643" s="117"/>
      <c r="CD643" s="117"/>
      <c r="CE643" s="117"/>
      <c r="CF643" s="117"/>
      <c r="CG643" s="117"/>
      <c r="CH643" s="117"/>
      <c r="CI643" s="117"/>
      <c r="CJ643" s="117"/>
      <c r="CK643" s="117"/>
      <c r="CL643" s="117"/>
      <c r="CM643" s="117"/>
      <c r="CN643" s="117"/>
      <c r="CO643" s="117"/>
      <c r="CP643" s="117"/>
      <c r="CQ643" s="117"/>
      <c r="CR643" s="117"/>
      <c r="CS643" s="117"/>
      <c r="CT643" s="117"/>
      <c r="CU643" s="117"/>
      <c r="CV643" s="117"/>
      <c r="CW643" s="117"/>
    </row>
    <row r="644" spans="1:101" s="279" customFormat="1" x14ac:dyDescent="0.2">
      <c r="A644" s="307">
        <f t="shared" si="167"/>
        <v>586</v>
      </c>
      <c r="B644" s="313" t="s">
        <v>2029</v>
      </c>
      <c r="C644" s="314" t="s">
        <v>1954</v>
      </c>
      <c r="D644" s="309" t="s">
        <v>2033</v>
      </c>
      <c r="E644" s="310" t="s">
        <v>2036</v>
      </c>
      <c r="F644" s="310"/>
      <c r="G644" s="311">
        <f t="shared" si="168"/>
        <v>401</v>
      </c>
      <c r="H644" s="311">
        <f t="shared" si="169"/>
        <v>415</v>
      </c>
      <c r="I644" s="311">
        <v>15</v>
      </c>
      <c r="J644" s="311" t="s">
        <v>18</v>
      </c>
      <c r="K644" s="310"/>
      <c r="L644" s="311" t="s">
        <v>1547</v>
      </c>
      <c r="M644" s="312"/>
      <c r="N644" s="312"/>
      <c r="O644" s="117"/>
      <c r="P644" s="117"/>
      <c r="Q644" s="117"/>
      <c r="R644" s="117"/>
      <c r="S644" s="117"/>
      <c r="T644" s="117"/>
      <c r="U644" s="117"/>
      <c r="V644" s="117"/>
      <c r="W644" s="117"/>
      <c r="X644" s="117"/>
      <c r="Y644" s="117"/>
      <c r="Z644" s="117"/>
      <c r="AA644" s="117"/>
      <c r="AB644" s="117"/>
      <c r="AC644" s="117"/>
      <c r="AD644" s="117"/>
      <c r="AE644" s="117"/>
      <c r="AF644" s="117"/>
      <c r="AG644" s="117"/>
      <c r="AH644" s="117"/>
      <c r="AI644" s="117"/>
      <c r="AJ644" s="117"/>
      <c r="AK644" s="117"/>
      <c r="AL644" s="117"/>
      <c r="AM644" s="117"/>
      <c r="AN644" s="117"/>
      <c r="AO644" s="117"/>
      <c r="AP644" s="117"/>
      <c r="AQ644" s="117"/>
      <c r="AR644" s="117"/>
      <c r="AS644" s="117"/>
      <c r="AT644" s="117"/>
      <c r="AU644" s="117"/>
      <c r="AV644" s="117"/>
      <c r="AW644" s="117"/>
      <c r="AX644" s="117"/>
      <c r="AY644" s="117"/>
      <c r="AZ644" s="117"/>
      <c r="BA644" s="117"/>
      <c r="BB644" s="117"/>
      <c r="BC644" s="117"/>
      <c r="BD644" s="117"/>
      <c r="BE644" s="117"/>
      <c r="BF644" s="117"/>
      <c r="BG644" s="117"/>
      <c r="BH644" s="117"/>
      <c r="BI644" s="117"/>
      <c r="BJ644" s="117"/>
      <c r="BK644" s="117"/>
      <c r="BL644" s="117"/>
      <c r="BM644" s="117"/>
      <c r="BN644" s="117"/>
      <c r="BO644" s="117"/>
      <c r="BP644" s="117"/>
      <c r="BQ644" s="117"/>
      <c r="BR644" s="117"/>
      <c r="BS644" s="117"/>
      <c r="BT644" s="117"/>
      <c r="BU644" s="117"/>
      <c r="BV644" s="117"/>
      <c r="BW644" s="117"/>
      <c r="BX644" s="117"/>
      <c r="BY644" s="117"/>
      <c r="BZ644" s="117"/>
      <c r="CA644" s="117"/>
      <c r="CB644" s="117"/>
      <c r="CC644" s="117"/>
      <c r="CD644" s="117"/>
      <c r="CE644" s="117"/>
      <c r="CF644" s="117"/>
      <c r="CG644" s="117"/>
      <c r="CH644" s="117"/>
      <c r="CI644" s="117"/>
      <c r="CJ644" s="117"/>
      <c r="CK644" s="117"/>
      <c r="CL644" s="117"/>
      <c r="CM644" s="117"/>
      <c r="CN644" s="117"/>
      <c r="CO644" s="117"/>
      <c r="CP644" s="117"/>
      <c r="CQ644" s="117"/>
      <c r="CR644" s="117"/>
      <c r="CS644" s="117"/>
      <c r="CT644" s="117"/>
      <c r="CU644" s="117"/>
      <c r="CV644" s="117"/>
      <c r="CW644" s="117"/>
    </row>
    <row r="645" spans="1:101" s="279" customFormat="1" x14ac:dyDescent="0.2">
      <c r="A645" s="307">
        <f t="shared" si="167"/>
        <v>587</v>
      </c>
      <c r="B645" s="313" t="s">
        <v>2030</v>
      </c>
      <c r="C645" s="314" t="s">
        <v>1955</v>
      </c>
      <c r="D645" s="309" t="s">
        <v>2034</v>
      </c>
      <c r="E645" s="310" t="s">
        <v>2037</v>
      </c>
      <c r="F645" s="310"/>
      <c r="G645" s="311">
        <f t="shared" si="168"/>
        <v>416</v>
      </c>
      <c r="H645" s="311">
        <f t="shared" si="169"/>
        <v>430</v>
      </c>
      <c r="I645" s="311">
        <v>15</v>
      </c>
      <c r="J645" s="311" t="s">
        <v>18</v>
      </c>
      <c r="K645" s="310"/>
      <c r="L645" s="311" t="s">
        <v>1547</v>
      </c>
      <c r="M645" s="312"/>
      <c r="N645" s="312"/>
      <c r="O645" s="117"/>
      <c r="P645" s="117"/>
      <c r="Q645" s="117"/>
      <c r="R645" s="117"/>
      <c r="S645" s="117"/>
      <c r="T645" s="117"/>
      <c r="U645" s="117"/>
      <c r="V645" s="117"/>
      <c r="W645" s="117"/>
      <c r="X645" s="117"/>
      <c r="Y645" s="117"/>
      <c r="Z645" s="117"/>
      <c r="AA645" s="117"/>
      <c r="AB645" s="117"/>
      <c r="AC645" s="117"/>
      <c r="AD645" s="117"/>
      <c r="AE645" s="117"/>
      <c r="AF645" s="117"/>
      <c r="AG645" s="117"/>
      <c r="AH645" s="117"/>
      <c r="AI645" s="117"/>
      <c r="AJ645" s="117"/>
      <c r="AK645" s="117"/>
      <c r="AL645" s="117"/>
      <c r="AM645" s="117"/>
      <c r="AN645" s="117"/>
      <c r="AO645" s="117"/>
      <c r="AP645" s="117"/>
      <c r="AQ645" s="117"/>
      <c r="AR645" s="117"/>
      <c r="AS645" s="117"/>
      <c r="AT645" s="117"/>
      <c r="AU645" s="117"/>
      <c r="AV645" s="117"/>
      <c r="AW645" s="117"/>
      <c r="AX645" s="117"/>
      <c r="AY645" s="117"/>
      <c r="AZ645" s="117"/>
      <c r="BA645" s="117"/>
      <c r="BB645" s="117"/>
      <c r="BC645" s="117"/>
      <c r="BD645" s="117"/>
      <c r="BE645" s="117"/>
      <c r="BF645" s="117"/>
      <c r="BG645" s="117"/>
      <c r="BH645" s="117"/>
      <c r="BI645" s="117"/>
      <c r="BJ645" s="117"/>
      <c r="BK645" s="117"/>
      <c r="BL645" s="117"/>
      <c r="BM645" s="117"/>
      <c r="BN645" s="117"/>
      <c r="BO645" s="117"/>
      <c r="BP645" s="117"/>
      <c r="BQ645" s="117"/>
      <c r="BR645" s="117"/>
      <c r="BS645" s="117"/>
      <c r="BT645" s="117"/>
      <c r="BU645" s="117"/>
      <c r="BV645" s="117"/>
      <c r="BW645" s="117"/>
      <c r="BX645" s="117"/>
      <c r="BY645" s="117"/>
      <c r="BZ645" s="117"/>
      <c r="CA645" s="117"/>
      <c r="CB645" s="117"/>
      <c r="CC645" s="117"/>
      <c r="CD645" s="117"/>
      <c r="CE645" s="117"/>
      <c r="CF645" s="117"/>
      <c r="CG645" s="117"/>
      <c r="CH645" s="117"/>
      <c r="CI645" s="117"/>
      <c r="CJ645" s="117"/>
      <c r="CK645" s="117"/>
      <c r="CL645" s="117"/>
      <c r="CM645" s="117"/>
      <c r="CN645" s="117"/>
      <c r="CO645" s="117"/>
      <c r="CP645" s="117"/>
      <c r="CQ645" s="117"/>
      <c r="CR645" s="117"/>
      <c r="CS645" s="117"/>
      <c r="CT645" s="117"/>
      <c r="CU645" s="117"/>
      <c r="CV645" s="117"/>
      <c r="CW645" s="117"/>
    </row>
    <row r="646" spans="1:101" s="279" customFormat="1" x14ac:dyDescent="0.2">
      <c r="A646" s="307">
        <f t="shared" si="167"/>
        <v>588</v>
      </c>
      <c r="B646" s="313" t="s">
        <v>2038</v>
      </c>
      <c r="C646" s="314" t="s">
        <v>2031</v>
      </c>
      <c r="D646" s="309" t="s">
        <v>2032</v>
      </c>
      <c r="E646" s="310" t="s">
        <v>2041</v>
      </c>
      <c r="F646" s="310"/>
      <c r="G646" s="311">
        <f t="shared" si="168"/>
        <v>431</v>
      </c>
      <c r="H646" s="311">
        <f t="shared" si="169"/>
        <v>437</v>
      </c>
      <c r="I646" s="311">
        <v>7</v>
      </c>
      <c r="J646" s="311" t="s">
        <v>18</v>
      </c>
      <c r="K646" s="310"/>
      <c r="L646" s="311" t="s">
        <v>1529</v>
      </c>
      <c r="M646" s="312"/>
      <c r="N646" s="312"/>
      <c r="O646" s="117"/>
      <c r="P646" s="117"/>
      <c r="Q646" s="117"/>
      <c r="R646" s="117"/>
      <c r="S646" s="117"/>
      <c r="T646" s="117"/>
      <c r="U646" s="117"/>
      <c r="V646" s="117"/>
      <c r="W646" s="117"/>
      <c r="X646" s="117"/>
      <c r="Y646" s="117"/>
      <c r="Z646" s="117"/>
      <c r="AA646" s="117"/>
      <c r="AB646" s="117"/>
      <c r="AC646" s="117"/>
      <c r="AD646" s="117"/>
      <c r="AE646" s="117"/>
      <c r="AF646" s="117"/>
      <c r="AG646" s="117"/>
      <c r="AH646" s="117"/>
      <c r="AI646" s="117"/>
      <c r="AJ646" s="117"/>
      <c r="AK646" s="117"/>
      <c r="AL646" s="117"/>
      <c r="AM646" s="117"/>
      <c r="AN646" s="117"/>
      <c r="AO646" s="117"/>
      <c r="AP646" s="117"/>
      <c r="AQ646" s="117"/>
      <c r="AR646" s="117"/>
      <c r="AS646" s="117"/>
      <c r="AT646" s="117"/>
      <c r="AU646" s="117"/>
      <c r="AV646" s="117"/>
      <c r="AW646" s="117"/>
      <c r="AX646" s="117"/>
      <c r="AY646" s="117"/>
      <c r="AZ646" s="117"/>
      <c r="BA646" s="117"/>
      <c r="BB646" s="117"/>
      <c r="BC646" s="117"/>
      <c r="BD646" s="117"/>
      <c r="BE646" s="117"/>
      <c r="BF646" s="117"/>
      <c r="BG646" s="117"/>
      <c r="BH646" s="117"/>
      <c r="BI646" s="117"/>
      <c r="BJ646" s="117"/>
      <c r="BK646" s="117"/>
      <c r="BL646" s="117"/>
      <c r="BM646" s="117"/>
      <c r="BN646" s="117"/>
      <c r="BO646" s="117"/>
      <c r="BP646" s="117"/>
      <c r="BQ646" s="117"/>
      <c r="BR646" s="117"/>
      <c r="BS646" s="117"/>
      <c r="BT646" s="117"/>
      <c r="BU646" s="117"/>
      <c r="BV646" s="117"/>
      <c r="BW646" s="117"/>
      <c r="BX646" s="117"/>
      <c r="BY646" s="117"/>
      <c r="BZ646" s="117"/>
      <c r="CA646" s="117"/>
      <c r="CB646" s="117"/>
      <c r="CC646" s="117"/>
      <c r="CD646" s="117"/>
      <c r="CE646" s="117"/>
      <c r="CF646" s="117"/>
      <c r="CG646" s="117"/>
      <c r="CH646" s="117"/>
      <c r="CI646" s="117"/>
      <c r="CJ646" s="117"/>
      <c r="CK646" s="117"/>
      <c r="CL646" s="117"/>
      <c r="CM646" s="117"/>
      <c r="CN646" s="117"/>
      <c r="CO646" s="117"/>
      <c r="CP646" s="117"/>
      <c r="CQ646" s="117"/>
      <c r="CR646" s="117"/>
      <c r="CS646" s="117"/>
      <c r="CT646" s="117"/>
      <c r="CU646" s="117"/>
      <c r="CV646" s="117"/>
      <c r="CW646" s="117"/>
    </row>
    <row r="647" spans="1:101" s="279" customFormat="1" x14ac:dyDescent="0.2">
      <c r="A647" s="307">
        <f t="shared" si="167"/>
        <v>589</v>
      </c>
      <c r="B647" s="313" t="s">
        <v>2039</v>
      </c>
      <c r="C647" s="314" t="s">
        <v>1954</v>
      </c>
      <c r="D647" s="309" t="s">
        <v>2033</v>
      </c>
      <c r="E647" s="310" t="s">
        <v>2042</v>
      </c>
      <c r="F647" s="310"/>
      <c r="G647" s="311">
        <f t="shared" si="168"/>
        <v>438</v>
      </c>
      <c r="H647" s="311">
        <f t="shared" si="169"/>
        <v>452</v>
      </c>
      <c r="I647" s="311">
        <v>15</v>
      </c>
      <c r="J647" s="311" t="s">
        <v>18</v>
      </c>
      <c r="K647" s="310"/>
      <c r="L647" s="311" t="s">
        <v>1547</v>
      </c>
      <c r="M647" s="312"/>
      <c r="N647" s="312"/>
      <c r="O647" s="117"/>
      <c r="P647" s="117"/>
      <c r="Q647" s="117"/>
      <c r="R647" s="117"/>
      <c r="S647" s="117"/>
      <c r="T647" s="117"/>
      <c r="U647" s="117"/>
      <c r="V647" s="117"/>
      <c r="W647" s="117"/>
      <c r="X647" s="117"/>
      <c r="Y647" s="117"/>
      <c r="Z647" s="117"/>
      <c r="AA647" s="117"/>
      <c r="AB647" s="117"/>
      <c r="AC647" s="117"/>
      <c r="AD647" s="117"/>
      <c r="AE647" s="117"/>
      <c r="AF647" s="117"/>
      <c r="AG647" s="117"/>
      <c r="AH647" s="117"/>
      <c r="AI647" s="117"/>
      <c r="AJ647" s="117"/>
      <c r="AK647" s="117"/>
      <c r="AL647" s="117"/>
      <c r="AM647" s="117"/>
      <c r="AN647" s="117"/>
      <c r="AO647" s="117"/>
      <c r="AP647" s="117"/>
      <c r="AQ647" s="117"/>
      <c r="AR647" s="117"/>
      <c r="AS647" s="117"/>
      <c r="AT647" s="117"/>
      <c r="AU647" s="117"/>
      <c r="AV647" s="117"/>
      <c r="AW647" s="117"/>
      <c r="AX647" s="117"/>
      <c r="AY647" s="117"/>
      <c r="AZ647" s="117"/>
      <c r="BA647" s="117"/>
      <c r="BB647" s="117"/>
      <c r="BC647" s="117"/>
      <c r="BD647" s="117"/>
      <c r="BE647" s="117"/>
      <c r="BF647" s="117"/>
      <c r="BG647" s="117"/>
      <c r="BH647" s="117"/>
      <c r="BI647" s="117"/>
      <c r="BJ647" s="117"/>
      <c r="BK647" s="117"/>
      <c r="BL647" s="117"/>
      <c r="BM647" s="117"/>
      <c r="BN647" s="117"/>
      <c r="BO647" s="117"/>
      <c r="BP647" s="117"/>
      <c r="BQ647" s="117"/>
      <c r="BR647" s="117"/>
      <c r="BS647" s="117"/>
      <c r="BT647" s="117"/>
      <c r="BU647" s="117"/>
      <c r="BV647" s="117"/>
      <c r="BW647" s="117"/>
      <c r="BX647" s="117"/>
      <c r="BY647" s="117"/>
      <c r="BZ647" s="117"/>
      <c r="CA647" s="117"/>
      <c r="CB647" s="117"/>
      <c r="CC647" s="117"/>
      <c r="CD647" s="117"/>
      <c r="CE647" s="117"/>
      <c r="CF647" s="117"/>
      <c r="CG647" s="117"/>
      <c r="CH647" s="117"/>
      <c r="CI647" s="117"/>
      <c r="CJ647" s="117"/>
      <c r="CK647" s="117"/>
      <c r="CL647" s="117"/>
      <c r="CM647" s="117"/>
      <c r="CN647" s="117"/>
      <c r="CO647" s="117"/>
      <c r="CP647" s="117"/>
      <c r="CQ647" s="117"/>
      <c r="CR647" s="117"/>
      <c r="CS647" s="117"/>
      <c r="CT647" s="117"/>
      <c r="CU647" s="117"/>
      <c r="CV647" s="117"/>
      <c r="CW647" s="117"/>
    </row>
    <row r="648" spans="1:101" s="279" customFormat="1" x14ac:dyDescent="0.2">
      <c r="A648" s="307">
        <f t="shared" si="167"/>
        <v>590</v>
      </c>
      <c r="B648" s="313" t="s">
        <v>2040</v>
      </c>
      <c r="C648" s="314" t="s">
        <v>1955</v>
      </c>
      <c r="D648" s="309" t="s">
        <v>2034</v>
      </c>
      <c r="E648" s="310" t="s">
        <v>2043</v>
      </c>
      <c r="F648" s="310"/>
      <c r="G648" s="311">
        <f t="shared" si="168"/>
        <v>453</v>
      </c>
      <c r="H648" s="311">
        <f t="shared" si="169"/>
        <v>467</v>
      </c>
      <c r="I648" s="311">
        <v>15</v>
      </c>
      <c r="J648" s="311" t="s">
        <v>18</v>
      </c>
      <c r="K648" s="310"/>
      <c r="L648" s="311" t="s">
        <v>1547</v>
      </c>
      <c r="M648" s="312"/>
      <c r="N648" s="312" t="s">
        <v>1607</v>
      </c>
      <c r="O648" s="117"/>
      <c r="P648" s="117"/>
      <c r="Q648" s="117"/>
      <c r="R648" s="117"/>
      <c r="S648" s="117"/>
      <c r="T648" s="117"/>
      <c r="U648" s="117"/>
      <c r="V648" s="117"/>
      <c r="W648" s="117"/>
      <c r="X648" s="117"/>
      <c r="Y648" s="117"/>
      <c r="Z648" s="117"/>
      <c r="AA648" s="117"/>
      <c r="AB648" s="117"/>
      <c r="AC648" s="117"/>
      <c r="AD648" s="117"/>
      <c r="AE648" s="117"/>
      <c r="AF648" s="117"/>
      <c r="AG648" s="117"/>
      <c r="AH648" s="117"/>
      <c r="AI648" s="117"/>
      <c r="AJ648" s="117"/>
      <c r="AK648" s="117"/>
      <c r="AL648" s="117"/>
      <c r="AM648" s="117"/>
      <c r="AN648" s="117"/>
      <c r="AO648" s="117"/>
      <c r="AP648" s="117"/>
      <c r="AQ648" s="117"/>
      <c r="AR648" s="117"/>
      <c r="AS648" s="117"/>
      <c r="AT648" s="117"/>
      <c r="AU648" s="117"/>
      <c r="AV648" s="117"/>
      <c r="AW648" s="117"/>
      <c r="AX648" s="117"/>
      <c r="AY648" s="117"/>
      <c r="AZ648" s="117"/>
      <c r="BA648" s="117"/>
      <c r="BB648" s="117"/>
      <c r="BC648" s="117"/>
      <c r="BD648" s="117"/>
      <c r="BE648" s="117"/>
      <c r="BF648" s="117"/>
      <c r="BG648" s="117"/>
      <c r="BH648" s="117"/>
      <c r="BI648" s="117"/>
      <c r="BJ648" s="117"/>
      <c r="BK648" s="117"/>
      <c r="BL648" s="117"/>
      <c r="BM648" s="117"/>
      <c r="BN648" s="117"/>
      <c r="BO648" s="117"/>
      <c r="BP648" s="117"/>
      <c r="BQ648" s="117"/>
      <c r="BR648" s="117"/>
      <c r="BS648" s="117"/>
      <c r="BT648" s="117"/>
      <c r="BU648" s="117"/>
      <c r="BV648" s="117"/>
      <c r="BW648" s="117"/>
      <c r="BX648" s="117"/>
      <c r="BY648" s="117"/>
      <c r="BZ648" s="117"/>
      <c r="CA648" s="117"/>
      <c r="CB648" s="117"/>
      <c r="CC648" s="117"/>
      <c r="CD648" s="117"/>
      <c r="CE648" s="117"/>
      <c r="CF648" s="117"/>
      <c r="CG648" s="117"/>
      <c r="CH648" s="117"/>
      <c r="CI648" s="117"/>
      <c r="CJ648" s="117"/>
      <c r="CK648" s="117"/>
      <c r="CL648" s="117"/>
      <c r="CM648" s="117"/>
      <c r="CN648" s="117"/>
      <c r="CO648" s="117"/>
      <c r="CP648" s="117"/>
      <c r="CQ648" s="117"/>
      <c r="CR648" s="117"/>
      <c r="CS648" s="117"/>
      <c r="CT648" s="117"/>
      <c r="CU648" s="117"/>
      <c r="CV648" s="117"/>
      <c r="CW648" s="117"/>
    </row>
    <row r="649" spans="1:101" s="279" customFormat="1" x14ac:dyDescent="0.2">
      <c r="A649" s="307">
        <f t="shared" si="167"/>
        <v>591</v>
      </c>
      <c r="B649" s="313" t="s">
        <v>2044</v>
      </c>
      <c r="C649" s="314" t="s">
        <v>2047</v>
      </c>
      <c r="D649" s="309" t="s">
        <v>2049</v>
      </c>
      <c r="E649" s="310" t="s">
        <v>2050</v>
      </c>
      <c r="F649" s="310"/>
      <c r="G649" s="311">
        <f t="shared" si="168"/>
        <v>468</v>
      </c>
      <c r="H649" s="311">
        <f t="shared" si="169"/>
        <v>474</v>
      </c>
      <c r="I649" s="311">
        <v>7</v>
      </c>
      <c r="J649" s="311" t="s">
        <v>15</v>
      </c>
      <c r="K649" s="310"/>
      <c r="L649" s="311"/>
      <c r="M649" s="312"/>
      <c r="N649" s="312" t="s">
        <v>2053</v>
      </c>
      <c r="O649" s="117"/>
      <c r="P649" s="117"/>
      <c r="Q649" s="117"/>
      <c r="R649" s="117"/>
      <c r="S649" s="117"/>
      <c r="T649" s="117"/>
      <c r="U649" s="117"/>
      <c r="V649" s="117"/>
      <c r="W649" s="117"/>
      <c r="X649" s="117"/>
      <c r="Y649" s="117"/>
      <c r="Z649" s="117"/>
      <c r="AA649" s="117"/>
      <c r="AB649" s="117"/>
      <c r="AC649" s="117"/>
      <c r="AD649" s="117"/>
      <c r="AE649" s="117"/>
      <c r="AF649" s="117"/>
      <c r="AG649" s="117"/>
      <c r="AH649" s="117"/>
      <c r="AI649" s="117"/>
      <c r="AJ649" s="117"/>
      <c r="AK649" s="117"/>
      <c r="AL649" s="117"/>
      <c r="AM649" s="117"/>
      <c r="AN649" s="117"/>
      <c r="AO649" s="117"/>
      <c r="AP649" s="117"/>
      <c r="AQ649" s="117"/>
      <c r="AR649" s="117"/>
      <c r="AS649" s="117"/>
      <c r="AT649" s="117"/>
      <c r="AU649" s="117"/>
      <c r="AV649" s="117"/>
      <c r="AW649" s="117"/>
      <c r="AX649" s="117"/>
      <c r="AY649" s="117"/>
      <c r="AZ649" s="117"/>
      <c r="BA649" s="117"/>
      <c r="BB649" s="117"/>
      <c r="BC649" s="117"/>
      <c r="BD649" s="117"/>
      <c r="BE649" s="117"/>
      <c r="BF649" s="117"/>
      <c r="BG649" s="117"/>
      <c r="BH649" s="117"/>
      <c r="BI649" s="117"/>
      <c r="BJ649" s="117"/>
      <c r="BK649" s="117"/>
      <c r="BL649" s="117"/>
      <c r="BM649" s="117"/>
      <c r="BN649" s="117"/>
      <c r="BO649" s="117"/>
      <c r="BP649" s="117"/>
      <c r="BQ649" s="117"/>
      <c r="BR649" s="117"/>
      <c r="BS649" s="117"/>
      <c r="BT649" s="117"/>
      <c r="BU649" s="117"/>
      <c r="BV649" s="117"/>
      <c r="BW649" s="117"/>
      <c r="BX649" s="117"/>
      <c r="BY649" s="117"/>
      <c r="BZ649" s="117"/>
      <c r="CA649" s="117"/>
      <c r="CB649" s="117"/>
      <c r="CC649" s="117"/>
      <c r="CD649" s="117"/>
      <c r="CE649" s="117"/>
      <c r="CF649" s="117"/>
      <c r="CG649" s="117"/>
      <c r="CH649" s="117"/>
      <c r="CI649" s="117"/>
      <c r="CJ649" s="117"/>
      <c r="CK649" s="117"/>
      <c r="CL649" s="117"/>
      <c r="CM649" s="117"/>
      <c r="CN649" s="117"/>
      <c r="CO649" s="117"/>
      <c r="CP649" s="117"/>
      <c r="CQ649" s="117"/>
      <c r="CR649" s="117"/>
      <c r="CS649" s="117"/>
      <c r="CT649" s="117"/>
      <c r="CU649" s="117"/>
      <c r="CV649" s="117"/>
      <c r="CW649" s="117"/>
    </row>
    <row r="650" spans="1:101" s="279" customFormat="1" ht="76.5" x14ac:dyDescent="0.2">
      <c r="A650" s="307">
        <f t="shared" si="167"/>
        <v>592</v>
      </c>
      <c r="B650" s="313" t="s">
        <v>2045</v>
      </c>
      <c r="C650" s="314" t="s">
        <v>1892</v>
      </c>
      <c r="D650" s="309" t="s">
        <v>1609</v>
      </c>
      <c r="E650" s="310" t="s">
        <v>2051</v>
      </c>
      <c r="F650" s="310"/>
      <c r="G650" s="311">
        <f t="shared" si="168"/>
        <v>475</v>
      </c>
      <c r="H650" s="311">
        <f t="shared" si="169"/>
        <v>475</v>
      </c>
      <c r="I650" s="311">
        <v>1</v>
      </c>
      <c r="J650" s="311" t="s">
        <v>18</v>
      </c>
      <c r="K650" s="310"/>
      <c r="L650" s="311"/>
      <c r="M650" s="312"/>
      <c r="N650" s="312" t="s">
        <v>1884</v>
      </c>
      <c r="O650" s="117"/>
      <c r="P650" s="117"/>
      <c r="Q650" s="117"/>
      <c r="R650" s="117"/>
      <c r="S650" s="117"/>
      <c r="T650" s="117"/>
      <c r="U650" s="117"/>
      <c r="V650" s="117"/>
      <c r="W650" s="117"/>
      <c r="X650" s="117"/>
      <c r="Y650" s="117"/>
      <c r="Z650" s="117"/>
      <c r="AA650" s="117"/>
      <c r="AB650" s="117"/>
      <c r="AC650" s="117"/>
      <c r="AD650" s="117"/>
      <c r="AE650" s="117"/>
      <c r="AF650" s="117"/>
      <c r="AG650" s="117"/>
      <c r="AH650" s="117"/>
      <c r="AI650" s="117"/>
      <c r="AJ650" s="117"/>
      <c r="AK650" s="117"/>
      <c r="AL650" s="117"/>
      <c r="AM650" s="117"/>
      <c r="AN650" s="117"/>
      <c r="AO650" s="117"/>
      <c r="AP650" s="117"/>
      <c r="AQ650" s="117"/>
      <c r="AR650" s="117"/>
      <c r="AS650" s="117"/>
      <c r="AT650" s="117"/>
      <c r="AU650" s="117"/>
      <c r="AV650" s="117"/>
      <c r="AW650" s="117"/>
      <c r="AX650" s="117"/>
      <c r="AY650" s="117"/>
      <c r="AZ650" s="117"/>
      <c r="BA650" s="117"/>
      <c r="BB650" s="117"/>
      <c r="BC650" s="117"/>
      <c r="BD650" s="117"/>
      <c r="BE650" s="117"/>
      <c r="BF650" s="117"/>
      <c r="BG650" s="117"/>
      <c r="BH650" s="117"/>
      <c r="BI650" s="117"/>
      <c r="BJ650" s="117"/>
      <c r="BK650" s="117"/>
      <c r="BL650" s="117"/>
      <c r="BM650" s="117"/>
      <c r="BN650" s="117"/>
      <c r="BO650" s="117"/>
      <c r="BP650" s="117"/>
      <c r="BQ650" s="117"/>
      <c r="BR650" s="117"/>
      <c r="BS650" s="117"/>
      <c r="BT650" s="117"/>
      <c r="BU650" s="117"/>
      <c r="BV650" s="117"/>
      <c r="BW650" s="117"/>
      <c r="BX650" s="117"/>
      <c r="BY650" s="117"/>
      <c r="BZ650" s="117"/>
      <c r="CA650" s="117"/>
      <c r="CB650" s="117"/>
      <c r="CC650" s="117"/>
      <c r="CD650" s="117"/>
      <c r="CE650" s="117"/>
      <c r="CF650" s="117"/>
      <c r="CG650" s="117"/>
      <c r="CH650" s="117"/>
      <c r="CI650" s="117"/>
      <c r="CJ650" s="117"/>
      <c r="CK650" s="117"/>
      <c r="CL650" s="117"/>
      <c r="CM650" s="117"/>
      <c r="CN650" s="117"/>
      <c r="CO650" s="117"/>
      <c r="CP650" s="117"/>
      <c r="CQ650" s="117"/>
      <c r="CR650" s="117"/>
      <c r="CS650" s="117"/>
      <c r="CT650" s="117"/>
      <c r="CU650" s="117"/>
      <c r="CV650" s="117"/>
      <c r="CW650" s="117"/>
    </row>
    <row r="651" spans="1:101" s="279" customFormat="1" x14ac:dyDescent="0.2">
      <c r="A651" s="307">
        <f t="shared" si="167"/>
        <v>593</v>
      </c>
      <c r="B651" s="313" t="s">
        <v>2046</v>
      </c>
      <c r="C651" s="314" t="s">
        <v>2048</v>
      </c>
      <c r="D651" s="309" t="s">
        <v>1610</v>
      </c>
      <c r="E651" s="310" t="s">
        <v>2052</v>
      </c>
      <c r="F651" s="310"/>
      <c r="G651" s="311">
        <f t="shared" si="168"/>
        <v>476</v>
      </c>
      <c r="H651" s="311">
        <f t="shared" si="169"/>
        <v>490</v>
      </c>
      <c r="I651" s="311">
        <v>15</v>
      </c>
      <c r="J651" s="311" t="s">
        <v>18</v>
      </c>
      <c r="K651" s="310"/>
      <c r="L651" s="311" t="s">
        <v>1547</v>
      </c>
      <c r="M651" s="312"/>
      <c r="N651" s="312"/>
      <c r="O651" s="117"/>
      <c r="P651" s="117"/>
      <c r="Q651" s="117"/>
      <c r="R651" s="117"/>
      <c r="S651" s="117"/>
      <c r="T651" s="117"/>
      <c r="U651" s="117"/>
      <c r="V651" s="117"/>
      <c r="W651" s="117"/>
      <c r="X651" s="117"/>
      <c r="Y651" s="117"/>
      <c r="Z651" s="117"/>
      <c r="AA651" s="117"/>
      <c r="AB651" s="117"/>
      <c r="AC651" s="117"/>
      <c r="AD651" s="117"/>
      <c r="AE651" s="117"/>
      <c r="AF651" s="117"/>
      <c r="AG651" s="117"/>
      <c r="AH651" s="117"/>
      <c r="AI651" s="117"/>
      <c r="AJ651" s="117"/>
      <c r="AK651" s="117"/>
      <c r="AL651" s="117"/>
      <c r="AM651" s="117"/>
      <c r="AN651" s="117"/>
      <c r="AO651" s="117"/>
      <c r="AP651" s="117"/>
      <c r="AQ651" s="117"/>
      <c r="AR651" s="117"/>
      <c r="AS651" s="117"/>
      <c r="AT651" s="117"/>
      <c r="AU651" s="117"/>
      <c r="AV651" s="117"/>
      <c r="AW651" s="117"/>
      <c r="AX651" s="117"/>
      <c r="AY651" s="117"/>
      <c r="AZ651" s="117"/>
      <c r="BA651" s="117"/>
      <c r="BB651" s="117"/>
      <c r="BC651" s="117"/>
      <c r="BD651" s="117"/>
      <c r="BE651" s="117"/>
      <c r="BF651" s="117"/>
      <c r="BG651" s="117"/>
      <c r="BH651" s="117"/>
      <c r="BI651" s="117"/>
      <c r="BJ651" s="117"/>
      <c r="BK651" s="117"/>
      <c r="BL651" s="117"/>
      <c r="BM651" s="117"/>
      <c r="BN651" s="117"/>
      <c r="BO651" s="117"/>
      <c r="BP651" s="117"/>
      <c r="BQ651" s="117"/>
      <c r="BR651" s="117"/>
      <c r="BS651" s="117"/>
      <c r="BT651" s="117"/>
      <c r="BU651" s="117"/>
      <c r="BV651" s="117"/>
      <c r="BW651" s="117"/>
      <c r="BX651" s="117"/>
      <c r="BY651" s="117"/>
      <c r="BZ651" s="117"/>
      <c r="CA651" s="117"/>
      <c r="CB651" s="117"/>
      <c r="CC651" s="117"/>
      <c r="CD651" s="117"/>
      <c r="CE651" s="117"/>
      <c r="CF651" s="117"/>
      <c r="CG651" s="117"/>
      <c r="CH651" s="117"/>
      <c r="CI651" s="117"/>
      <c r="CJ651" s="117"/>
      <c r="CK651" s="117"/>
      <c r="CL651" s="117"/>
      <c r="CM651" s="117"/>
      <c r="CN651" s="117"/>
      <c r="CO651" s="117"/>
      <c r="CP651" s="117"/>
      <c r="CQ651" s="117"/>
      <c r="CR651" s="117"/>
      <c r="CS651" s="117"/>
      <c r="CT651" s="117"/>
      <c r="CU651" s="117"/>
      <c r="CV651" s="117"/>
      <c r="CW651" s="117"/>
    </row>
    <row r="652" spans="1:101" s="287" customFormat="1" ht="15" x14ac:dyDescent="0.2">
      <c r="A652" s="288">
        <v>594</v>
      </c>
      <c r="B652" s="292"/>
      <c r="C652" s="293"/>
      <c r="D652" s="294" t="s">
        <v>28</v>
      </c>
      <c r="E652" s="289" t="s">
        <v>14</v>
      </c>
      <c r="F652" s="289"/>
      <c r="G652" s="290">
        <f>H651+1</f>
        <v>491</v>
      </c>
      <c r="H652" s="290">
        <v>600</v>
      </c>
      <c r="I652" s="290">
        <f>H652-H651</f>
        <v>110</v>
      </c>
      <c r="J652" s="290" t="s">
        <v>15</v>
      </c>
      <c r="K652" s="289"/>
      <c r="L652" s="290"/>
      <c r="M652" s="291"/>
      <c r="N652" s="295" t="s">
        <v>29</v>
      </c>
    </row>
    <row r="653" spans="1:101" ht="14.45" customHeight="1" x14ac:dyDescent="0.2">
      <c r="A653" s="324"/>
      <c r="B653" s="325"/>
      <c r="C653" s="325"/>
      <c r="D653" s="325"/>
      <c r="E653" s="325"/>
      <c r="F653" s="325"/>
      <c r="G653" s="325"/>
      <c r="H653" s="325"/>
      <c r="I653" s="325"/>
      <c r="J653" s="325"/>
      <c r="K653" s="325"/>
      <c r="L653" s="325"/>
      <c r="M653" s="325"/>
      <c r="N653" s="326"/>
    </row>
    <row r="654" spans="1:101" s="279" customFormat="1" x14ac:dyDescent="0.2">
      <c r="A654" s="249">
        <f>A652+1</f>
        <v>595</v>
      </c>
      <c r="B654" s="249" t="s">
        <v>2011</v>
      </c>
      <c r="C654" s="232" t="s">
        <v>1868</v>
      </c>
      <c r="D654" s="232"/>
      <c r="E654" s="283" t="s">
        <v>14</v>
      </c>
      <c r="F654" s="283" t="s">
        <v>1911</v>
      </c>
      <c r="G654" s="284">
        <v>7</v>
      </c>
      <c r="H654" s="284">
        <v>9</v>
      </c>
      <c r="I654" s="284">
        <v>3</v>
      </c>
      <c r="J654" s="284" t="s">
        <v>18</v>
      </c>
      <c r="K654" s="283"/>
      <c r="L654" s="284"/>
      <c r="M654" s="186"/>
      <c r="N654" s="285" t="s">
        <v>1699</v>
      </c>
      <c r="O654" s="117"/>
      <c r="P654" s="117"/>
      <c r="Q654" s="117"/>
      <c r="R654" s="117"/>
      <c r="S654" s="117"/>
      <c r="T654" s="117"/>
      <c r="U654" s="117"/>
      <c r="V654" s="117"/>
      <c r="W654" s="117"/>
      <c r="X654" s="117"/>
      <c r="Y654" s="117"/>
      <c r="Z654" s="117"/>
      <c r="AA654" s="117"/>
      <c r="AB654" s="117"/>
      <c r="AC654" s="117"/>
      <c r="AD654" s="117"/>
      <c r="AE654" s="117"/>
      <c r="AF654" s="117"/>
      <c r="AG654" s="117"/>
      <c r="AH654" s="117"/>
      <c r="AI654" s="117"/>
      <c r="AJ654" s="117"/>
      <c r="AK654" s="117"/>
      <c r="AL654" s="117"/>
      <c r="AM654" s="117"/>
      <c r="AN654" s="117"/>
      <c r="AO654" s="117"/>
      <c r="AP654" s="117"/>
      <c r="AQ654" s="117"/>
      <c r="AR654" s="117"/>
      <c r="AS654" s="117"/>
      <c r="AT654" s="117"/>
      <c r="AU654" s="117"/>
      <c r="AV654" s="117"/>
      <c r="AW654" s="117"/>
      <c r="AX654" s="117"/>
      <c r="AY654" s="117"/>
      <c r="AZ654" s="117"/>
      <c r="BA654" s="117"/>
      <c r="BB654" s="117"/>
      <c r="BC654" s="117"/>
      <c r="BD654" s="117"/>
      <c r="BE654" s="117"/>
      <c r="BF654" s="117"/>
      <c r="BG654" s="117"/>
      <c r="BH654" s="117"/>
      <c r="BI654" s="117"/>
      <c r="BJ654" s="117"/>
      <c r="BK654" s="117"/>
      <c r="BL654" s="117"/>
      <c r="BM654" s="117"/>
      <c r="BN654" s="117"/>
      <c r="BO654" s="117"/>
      <c r="BP654" s="117"/>
      <c r="BQ654" s="117"/>
      <c r="BR654" s="117"/>
      <c r="BS654" s="117"/>
      <c r="BT654" s="117"/>
      <c r="BU654" s="117"/>
      <c r="BV654" s="117"/>
      <c r="BW654" s="117"/>
      <c r="BX654" s="117"/>
      <c r="BY654" s="117"/>
      <c r="BZ654" s="117"/>
      <c r="CA654" s="117"/>
      <c r="CB654" s="117"/>
      <c r="CC654" s="117"/>
      <c r="CD654" s="117"/>
      <c r="CE654" s="117"/>
      <c r="CF654" s="117"/>
      <c r="CG654" s="117"/>
      <c r="CH654" s="117"/>
      <c r="CI654" s="117"/>
      <c r="CJ654" s="117"/>
      <c r="CK654" s="117"/>
      <c r="CL654" s="117"/>
      <c r="CM654" s="117"/>
      <c r="CN654" s="117"/>
      <c r="CO654" s="117"/>
      <c r="CP654" s="117"/>
      <c r="CQ654" s="117"/>
      <c r="CR654" s="117"/>
      <c r="CS654" s="117"/>
      <c r="CT654" s="117"/>
      <c r="CU654" s="117"/>
      <c r="CV654" s="117"/>
      <c r="CW654" s="117"/>
    </row>
    <row r="655" spans="1:101" s="279" customFormat="1" x14ac:dyDescent="0.2">
      <c r="A655" s="249">
        <f t="shared" ref="A655:A662" si="170">A654+1</f>
        <v>596</v>
      </c>
      <c r="B655" s="249"/>
      <c r="D655" s="172" t="s">
        <v>267</v>
      </c>
      <c r="E655" s="283">
        <v>99</v>
      </c>
      <c r="F655" s="283"/>
      <c r="G655" s="284">
        <f>H654+1</f>
        <v>10</v>
      </c>
      <c r="H655" s="284">
        <f>H654+I655</f>
        <v>12</v>
      </c>
      <c r="I655" s="284">
        <v>3</v>
      </c>
      <c r="J655" s="284" t="s">
        <v>18</v>
      </c>
      <c r="K655" s="283"/>
      <c r="L655" s="284"/>
      <c r="M655" s="186"/>
      <c r="N655" s="186" t="s">
        <v>268</v>
      </c>
      <c r="O655" s="117"/>
      <c r="P655" s="117"/>
      <c r="Q655" s="117"/>
      <c r="R655" s="117"/>
      <c r="S655" s="117"/>
      <c r="T655" s="117"/>
      <c r="U655" s="117"/>
      <c r="V655" s="117"/>
      <c r="W655" s="117"/>
      <c r="X655" s="117"/>
      <c r="Y655" s="117"/>
      <c r="Z655" s="117"/>
      <c r="AA655" s="117"/>
      <c r="AB655" s="117"/>
      <c r="AC655" s="117"/>
      <c r="AD655" s="117"/>
      <c r="AE655" s="117"/>
      <c r="AF655" s="117"/>
      <c r="AG655" s="117"/>
      <c r="AH655" s="117"/>
      <c r="AI655" s="117"/>
      <c r="AJ655" s="117"/>
      <c r="AK655" s="117"/>
      <c r="AL655" s="117"/>
      <c r="AM655" s="117"/>
      <c r="AN655" s="117"/>
      <c r="AO655" s="117"/>
      <c r="AP655" s="117"/>
      <c r="AQ655" s="117"/>
      <c r="AR655" s="117"/>
      <c r="AS655" s="117"/>
      <c r="AT655" s="117"/>
      <c r="AU655" s="117"/>
      <c r="AV655" s="117"/>
      <c r="AW655" s="117"/>
      <c r="AX655" s="117"/>
      <c r="AY655" s="117"/>
      <c r="AZ655" s="117"/>
      <c r="BA655" s="117"/>
      <c r="BB655" s="117"/>
      <c r="BC655" s="117"/>
      <c r="BD655" s="117"/>
      <c r="BE655" s="117"/>
      <c r="BF655" s="117"/>
      <c r="BG655" s="117"/>
      <c r="BH655" s="117"/>
      <c r="BI655" s="117"/>
      <c r="BJ655" s="117"/>
      <c r="BK655" s="117"/>
      <c r="BL655" s="117"/>
      <c r="BM655" s="117"/>
      <c r="BN655" s="117"/>
      <c r="BO655" s="117"/>
      <c r="BP655" s="117"/>
      <c r="BQ655" s="117"/>
      <c r="BR655" s="117"/>
      <c r="BS655" s="117"/>
      <c r="BT655" s="117"/>
      <c r="BU655" s="117"/>
      <c r="BV655" s="117"/>
      <c r="BW655" s="117"/>
      <c r="BX655" s="117"/>
      <c r="BY655" s="117"/>
      <c r="BZ655" s="117"/>
      <c r="CA655" s="117"/>
      <c r="CB655" s="117"/>
      <c r="CC655" s="117"/>
      <c r="CD655" s="117"/>
      <c r="CE655" s="117"/>
      <c r="CF655" s="117"/>
      <c r="CG655" s="117"/>
      <c r="CH655" s="117"/>
      <c r="CI655" s="117"/>
      <c r="CJ655" s="117"/>
      <c r="CK655" s="117"/>
      <c r="CL655" s="117"/>
      <c r="CM655" s="117"/>
      <c r="CN655" s="117"/>
      <c r="CO655" s="117"/>
      <c r="CP655" s="117"/>
      <c r="CQ655" s="117"/>
      <c r="CR655" s="117"/>
      <c r="CS655" s="117"/>
      <c r="CT655" s="117"/>
      <c r="CU655" s="117"/>
      <c r="CV655" s="117"/>
      <c r="CW655" s="117"/>
    </row>
    <row r="656" spans="1:101" s="279" customFormat="1" x14ac:dyDescent="0.2">
      <c r="A656" s="249">
        <f t="shared" si="170"/>
        <v>597</v>
      </c>
      <c r="B656" s="249" t="s">
        <v>2005</v>
      </c>
      <c r="C656" s="232" t="s">
        <v>1898</v>
      </c>
      <c r="D656" s="232" t="s">
        <v>1904</v>
      </c>
      <c r="E656" s="283" t="s">
        <v>1611</v>
      </c>
      <c r="F656" s="283"/>
      <c r="G656" s="284">
        <f t="shared" ref="G656:G661" si="171">H655+1</f>
        <v>13</v>
      </c>
      <c r="H656" s="284">
        <f t="shared" ref="H656:H661" si="172">H655+I656</f>
        <v>19</v>
      </c>
      <c r="I656" s="284">
        <v>7</v>
      </c>
      <c r="J656" s="284" t="s">
        <v>18</v>
      </c>
      <c r="K656" s="283"/>
      <c r="L656" s="284" t="s">
        <v>1529</v>
      </c>
      <c r="M656" s="186"/>
      <c r="N656" s="285"/>
      <c r="O656" s="117"/>
      <c r="P656" s="117"/>
      <c r="Q656" s="117"/>
      <c r="R656" s="117"/>
      <c r="S656" s="117"/>
      <c r="T656" s="117"/>
      <c r="U656" s="117"/>
      <c r="V656" s="117"/>
      <c r="W656" s="117"/>
      <c r="X656" s="117"/>
      <c r="Y656" s="117"/>
      <c r="Z656" s="117"/>
      <c r="AA656" s="117"/>
      <c r="AB656" s="117"/>
      <c r="AC656" s="117"/>
      <c r="AD656" s="117"/>
      <c r="AE656" s="117"/>
      <c r="AF656" s="117"/>
      <c r="AG656" s="117"/>
      <c r="AH656" s="117"/>
      <c r="AI656" s="117"/>
      <c r="AJ656" s="117"/>
      <c r="AK656" s="117"/>
      <c r="AL656" s="117"/>
      <c r="AM656" s="117"/>
      <c r="AN656" s="117"/>
      <c r="AO656" s="117"/>
      <c r="AP656" s="117"/>
      <c r="AQ656" s="117"/>
      <c r="AR656" s="117"/>
      <c r="AS656" s="117"/>
      <c r="AT656" s="117"/>
      <c r="AU656" s="117"/>
      <c r="AV656" s="117"/>
      <c r="AW656" s="117"/>
      <c r="AX656" s="117"/>
      <c r="AY656" s="117"/>
      <c r="AZ656" s="117"/>
      <c r="BA656" s="117"/>
      <c r="BB656" s="117"/>
      <c r="BC656" s="117"/>
      <c r="BD656" s="117"/>
      <c r="BE656" s="117"/>
      <c r="BF656" s="117"/>
      <c r="BG656" s="117"/>
      <c r="BH656" s="117"/>
      <c r="BI656" s="117"/>
      <c r="BJ656" s="117"/>
      <c r="BK656" s="117"/>
      <c r="BL656" s="117"/>
      <c r="BM656" s="117"/>
      <c r="BN656" s="117"/>
      <c r="BO656" s="117"/>
      <c r="BP656" s="117"/>
      <c r="BQ656" s="117"/>
      <c r="BR656" s="117"/>
      <c r="BS656" s="117"/>
      <c r="BT656" s="117"/>
      <c r="BU656" s="117"/>
      <c r="BV656" s="117"/>
      <c r="BW656" s="117"/>
      <c r="BX656" s="117"/>
      <c r="BY656" s="117"/>
      <c r="BZ656" s="117"/>
      <c r="CA656" s="117"/>
      <c r="CB656" s="117"/>
      <c r="CC656" s="117"/>
      <c r="CD656" s="117"/>
      <c r="CE656" s="117"/>
      <c r="CF656" s="117"/>
      <c r="CG656" s="117"/>
      <c r="CH656" s="117"/>
      <c r="CI656" s="117"/>
      <c r="CJ656" s="117"/>
      <c r="CK656" s="117"/>
      <c r="CL656" s="117"/>
      <c r="CM656" s="117"/>
      <c r="CN656" s="117"/>
      <c r="CO656" s="117"/>
      <c r="CP656" s="117"/>
      <c r="CQ656" s="117"/>
      <c r="CR656" s="117"/>
      <c r="CS656" s="117"/>
      <c r="CT656" s="117"/>
      <c r="CU656" s="117"/>
      <c r="CV656" s="117"/>
      <c r="CW656" s="117"/>
    </row>
    <row r="657" spans="1:101" s="279" customFormat="1" x14ac:dyDescent="0.2">
      <c r="A657" s="249">
        <f t="shared" si="170"/>
        <v>598</v>
      </c>
      <c r="B657" s="249" t="s">
        <v>2006</v>
      </c>
      <c r="C657" s="232" t="s">
        <v>1899</v>
      </c>
      <c r="D657" s="232" t="s">
        <v>1612</v>
      </c>
      <c r="E657" s="283" t="s">
        <v>1613</v>
      </c>
      <c r="F657" s="283"/>
      <c r="G657" s="284">
        <f t="shared" si="171"/>
        <v>20</v>
      </c>
      <c r="H657" s="284">
        <f t="shared" si="172"/>
        <v>34</v>
      </c>
      <c r="I657" s="284">
        <v>15</v>
      </c>
      <c r="J657" s="284" t="s">
        <v>18</v>
      </c>
      <c r="K657" s="283"/>
      <c r="L657" s="284" t="s">
        <v>1547</v>
      </c>
      <c r="M657" s="186"/>
      <c r="N657" s="285" t="s">
        <v>1614</v>
      </c>
      <c r="O657" s="117"/>
      <c r="P657" s="117"/>
      <c r="Q657" s="117"/>
      <c r="R657" s="117"/>
      <c r="S657" s="117"/>
      <c r="T657" s="117"/>
      <c r="U657" s="117"/>
      <c r="V657" s="117"/>
      <c r="W657" s="117"/>
      <c r="X657" s="117"/>
      <c r="Y657" s="117"/>
      <c r="Z657" s="117"/>
      <c r="AA657" s="117"/>
      <c r="AB657" s="117"/>
      <c r="AC657" s="117"/>
      <c r="AD657" s="117"/>
      <c r="AE657" s="117"/>
      <c r="AF657" s="117"/>
      <c r="AG657" s="117"/>
      <c r="AH657" s="117"/>
      <c r="AI657" s="117"/>
      <c r="AJ657" s="117"/>
      <c r="AK657" s="117"/>
      <c r="AL657" s="117"/>
      <c r="AM657" s="117"/>
      <c r="AN657" s="117"/>
      <c r="AO657" s="117"/>
      <c r="AP657" s="117"/>
      <c r="AQ657" s="117"/>
      <c r="AR657" s="117"/>
      <c r="AS657" s="117"/>
      <c r="AT657" s="117"/>
      <c r="AU657" s="117"/>
      <c r="AV657" s="117"/>
      <c r="AW657" s="117"/>
      <c r="AX657" s="117"/>
      <c r="AY657" s="117"/>
      <c r="AZ657" s="117"/>
      <c r="BA657" s="117"/>
      <c r="BB657" s="117"/>
      <c r="BC657" s="117"/>
      <c r="BD657" s="117"/>
      <c r="BE657" s="117"/>
      <c r="BF657" s="117"/>
      <c r="BG657" s="117"/>
      <c r="BH657" s="117"/>
      <c r="BI657" s="117"/>
      <c r="BJ657" s="117"/>
      <c r="BK657" s="117"/>
      <c r="BL657" s="117"/>
      <c r="BM657" s="117"/>
      <c r="BN657" s="117"/>
      <c r="BO657" s="117"/>
      <c r="BP657" s="117"/>
      <c r="BQ657" s="117"/>
      <c r="BR657" s="117"/>
      <c r="BS657" s="117"/>
      <c r="BT657" s="117"/>
      <c r="BU657" s="117"/>
      <c r="BV657" s="117"/>
      <c r="BW657" s="117"/>
      <c r="BX657" s="117"/>
      <c r="BY657" s="117"/>
      <c r="BZ657" s="117"/>
      <c r="CA657" s="117"/>
      <c r="CB657" s="117"/>
      <c r="CC657" s="117"/>
      <c r="CD657" s="117"/>
      <c r="CE657" s="117"/>
      <c r="CF657" s="117"/>
      <c r="CG657" s="117"/>
      <c r="CH657" s="117"/>
      <c r="CI657" s="117"/>
      <c r="CJ657" s="117"/>
      <c r="CK657" s="117"/>
      <c r="CL657" s="117"/>
      <c r="CM657" s="117"/>
      <c r="CN657" s="117"/>
      <c r="CO657" s="117"/>
      <c r="CP657" s="117"/>
      <c r="CQ657" s="117"/>
      <c r="CR657" s="117"/>
      <c r="CS657" s="117"/>
      <c r="CT657" s="117"/>
      <c r="CU657" s="117"/>
      <c r="CV657" s="117"/>
      <c r="CW657" s="117"/>
    </row>
    <row r="658" spans="1:101" s="279" customFormat="1" x14ac:dyDescent="0.2">
      <c r="A658" s="249">
        <f t="shared" si="170"/>
        <v>599</v>
      </c>
      <c r="B658" s="249" t="s">
        <v>2007</v>
      </c>
      <c r="C658" s="232" t="s">
        <v>1900</v>
      </c>
      <c r="D658" s="232" t="s">
        <v>1897</v>
      </c>
      <c r="E658" s="283" t="s">
        <v>1615</v>
      </c>
      <c r="F658" s="283"/>
      <c r="G658" s="284">
        <f t="shared" si="171"/>
        <v>35</v>
      </c>
      <c r="H658" s="284">
        <f t="shared" si="172"/>
        <v>41</v>
      </c>
      <c r="I658" s="284">
        <v>7</v>
      </c>
      <c r="J658" s="284" t="s">
        <v>18</v>
      </c>
      <c r="K658" s="283"/>
      <c r="L658" s="284" t="s">
        <v>1529</v>
      </c>
      <c r="M658" s="186"/>
      <c r="N658" s="285"/>
      <c r="O658" s="117"/>
      <c r="P658" s="117"/>
      <c r="Q658" s="117"/>
      <c r="R658" s="117"/>
      <c r="S658" s="117"/>
      <c r="T658" s="117"/>
      <c r="U658" s="117"/>
      <c r="V658" s="117"/>
      <c r="W658" s="117"/>
      <c r="X658" s="117"/>
      <c r="Y658" s="117"/>
      <c r="Z658" s="117"/>
      <c r="AA658" s="117"/>
      <c r="AB658" s="117"/>
      <c r="AC658" s="117"/>
      <c r="AD658" s="117"/>
      <c r="AE658" s="117"/>
      <c r="AF658" s="117"/>
      <c r="AG658" s="117"/>
      <c r="AH658" s="117"/>
      <c r="AI658" s="117"/>
      <c r="AJ658" s="117"/>
      <c r="AK658" s="117"/>
      <c r="AL658" s="117"/>
      <c r="AM658" s="117"/>
      <c r="AN658" s="117"/>
      <c r="AO658" s="117"/>
      <c r="AP658" s="117"/>
      <c r="AQ658" s="117"/>
      <c r="AR658" s="117"/>
      <c r="AS658" s="117"/>
      <c r="AT658" s="117"/>
      <c r="AU658" s="117"/>
      <c r="AV658" s="117"/>
      <c r="AW658" s="117"/>
      <c r="AX658" s="117"/>
      <c r="AY658" s="117"/>
      <c r="AZ658" s="117"/>
      <c r="BA658" s="117"/>
      <c r="BB658" s="117"/>
      <c r="BC658" s="117"/>
      <c r="BD658" s="117"/>
      <c r="BE658" s="117"/>
      <c r="BF658" s="117"/>
      <c r="BG658" s="117"/>
      <c r="BH658" s="117"/>
      <c r="BI658" s="117"/>
      <c r="BJ658" s="117"/>
      <c r="BK658" s="117"/>
      <c r="BL658" s="117"/>
      <c r="BM658" s="117"/>
      <c r="BN658" s="117"/>
      <c r="BO658" s="117"/>
      <c r="BP658" s="117"/>
      <c r="BQ658" s="117"/>
      <c r="BR658" s="117"/>
      <c r="BS658" s="117"/>
      <c r="BT658" s="117"/>
      <c r="BU658" s="117"/>
      <c r="BV658" s="117"/>
      <c r="BW658" s="117"/>
      <c r="BX658" s="117"/>
      <c r="BY658" s="117"/>
      <c r="BZ658" s="117"/>
      <c r="CA658" s="117"/>
      <c r="CB658" s="117"/>
      <c r="CC658" s="117"/>
      <c r="CD658" s="117"/>
      <c r="CE658" s="117"/>
      <c r="CF658" s="117"/>
      <c r="CG658" s="117"/>
      <c r="CH658" s="117"/>
      <c r="CI658" s="117"/>
      <c r="CJ658" s="117"/>
      <c r="CK658" s="117"/>
      <c r="CL658" s="117"/>
      <c r="CM658" s="117"/>
      <c r="CN658" s="117"/>
      <c r="CO658" s="117"/>
      <c r="CP658" s="117"/>
      <c r="CQ658" s="117"/>
      <c r="CR658" s="117"/>
      <c r="CS658" s="117"/>
      <c r="CT658" s="117"/>
      <c r="CU658" s="117"/>
      <c r="CV658" s="117"/>
      <c r="CW658" s="117"/>
    </row>
    <row r="659" spans="1:101" s="279" customFormat="1" x14ac:dyDescent="0.2">
      <c r="A659" s="249">
        <f t="shared" si="170"/>
        <v>600</v>
      </c>
      <c r="B659" s="249" t="s">
        <v>2008</v>
      </c>
      <c r="C659" s="232" t="s">
        <v>1901</v>
      </c>
      <c r="D659" s="232" t="s">
        <v>1616</v>
      </c>
      <c r="E659" s="283" t="s">
        <v>1617</v>
      </c>
      <c r="F659" s="283"/>
      <c r="G659" s="284">
        <f t="shared" si="171"/>
        <v>42</v>
      </c>
      <c r="H659" s="284">
        <f t="shared" si="172"/>
        <v>56</v>
      </c>
      <c r="I659" s="284">
        <v>15</v>
      </c>
      <c r="J659" s="284" t="s">
        <v>18</v>
      </c>
      <c r="K659" s="283"/>
      <c r="L659" s="284" t="s">
        <v>1547</v>
      </c>
      <c r="M659" s="186"/>
      <c r="N659" s="285" t="s">
        <v>1618</v>
      </c>
      <c r="O659" s="117"/>
      <c r="P659" s="117"/>
      <c r="Q659" s="117"/>
      <c r="R659" s="117"/>
      <c r="S659" s="117"/>
      <c r="T659" s="117"/>
      <c r="U659" s="117"/>
      <c r="V659" s="117"/>
      <c r="W659" s="117"/>
      <c r="X659" s="117"/>
      <c r="Y659" s="117"/>
      <c r="Z659" s="117"/>
      <c r="AA659" s="117"/>
      <c r="AB659" s="117"/>
      <c r="AC659" s="117"/>
      <c r="AD659" s="117"/>
      <c r="AE659" s="117"/>
      <c r="AF659" s="117"/>
      <c r="AG659" s="117"/>
      <c r="AH659" s="117"/>
      <c r="AI659" s="117"/>
      <c r="AJ659" s="117"/>
      <c r="AK659" s="117"/>
      <c r="AL659" s="117"/>
      <c r="AM659" s="117"/>
      <c r="AN659" s="117"/>
      <c r="AO659" s="117"/>
      <c r="AP659" s="117"/>
      <c r="AQ659" s="117"/>
      <c r="AR659" s="117"/>
      <c r="AS659" s="117"/>
      <c r="AT659" s="117"/>
      <c r="AU659" s="117"/>
      <c r="AV659" s="117"/>
      <c r="AW659" s="117"/>
      <c r="AX659" s="117"/>
      <c r="AY659" s="117"/>
      <c r="AZ659" s="117"/>
      <c r="BA659" s="117"/>
      <c r="BB659" s="117"/>
      <c r="BC659" s="117"/>
      <c r="BD659" s="117"/>
      <c r="BE659" s="117"/>
      <c r="BF659" s="117"/>
      <c r="BG659" s="117"/>
      <c r="BH659" s="117"/>
      <c r="BI659" s="117"/>
      <c r="BJ659" s="117"/>
      <c r="BK659" s="117"/>
      <c r="BL659" s="117"/>
      <c r="BM659" s="117"/>
      <c r="BN659" s="117"/>
      <c r="BO659" s="117"/>
      <c r="BP659" s="117"/>
      <c r="BQ659" s="117"/>
      <c r="BR659" s="117"/>
      <c r="BS659" s="117"/>
      <c r="BT659" s="117"/>
      <c r="BU659" s="117"/>
      <c r="BV659" s="117"/>
      <c r="BW659" s="117"/>
      <c r="BX659" s="117"/>
      <c r="BY659" s="117"/>
      <c r="BZ659" s="117"/>
      <c r="CA659" s="117"/>
      <c r="CB659" s="117"/>
      <c r="CC659" s="117"/>
      <c r="CD659" s="117"/>
      <c r="CE659" s="117"/>
      <c r="CF659" s="117"/>
      <c r="CG659" s="117"/>
      <c r="CH659" s="117"/>
      <c r="CI659" s="117"/>
      <c r="CJ659" s="117"/>
      <c r="CK659" s="117"/>
      <c r="CL659" s="117"/>
      <c r="CM659" s="117"/>
      <c r="CN659" s="117"/>
      <c r="CO659" s="117"/>
      <c r="CP659" s="117"/>
      <c r="CQ659" s="117"/>
      <c r="CR659" s="117"/>
      <c r="CS659" s="117"/>
      <c r="CT659" s="117"/>
      <c r="CU659" s="117"/>
      <c r="CV659" s="117"/>
      <c r="CW659" s="117"/>
    </row>
    <row r="660" spans="1:101" s="279" customFormat="1" x14ac:dyDescent="0.2">
      <c r="A660" s="249">
        <f t="shared" si="170"/>
        <v>601</v>
      </c>
      <c r="B660" s="249" t="s">
        <v>2009</v>
      </c>
      <c r="C660" s="232" t="s">
        <v>1902</v>
      </c>
      <c r="D660" s="232" t="s">
        <v>1905</v>
      </c>
      <c r="E660" s="283" t="s">
        <v>1619</v>
      </c>
      <c r="F660" s="283"/>
      <c r="G660" s="284">
        <f t="shared" si="171"/>
        <v>57</v>
      </c>
      <c r="H660" s="284">
        <f t="shared" si="172"/>
        <v>63</v>
      </c>
      <c r="I660" s="284">
        <v>7</v>
      </c>
      <c r="J660" s="284" t="s">
        <v>18</v>
      </c>
      <c r="K660" s="283"/>
      <c r="L660" s="284" t="s">
        <v>1529</v>
      </c>
      <c r="M660" s="186"/>
      <c r="N660" s="285" t="s">
        <v>1608</v>
      </c>
      <c r="O660" s="117"/>
      <c r="P660" s="117"/>
      <c r="Q660" s="117"/>
      <c r="R660" s="117"/>
      <c r="S660" s="117"/>
      <c r="T660" s="117"/>
      <c r="U660" s="117"/>
      <c r="V660" s="117"/>
      <c r="W660" s="117"/>
      <c r="X660" s="117"/>
      <c r="Y660" s="117"/>
      <c r="Z660" s="117"/>
      <c r="AA660" s="117"/>
      <c r="AB660" s="117"/>
      <c r="AC660" s="117"/>
      <c r="AD660" s="117"/>
      <c r="AE660" s="117"/>
      <c r="AF660" s="117"/>
      <c r="AG660" s="117"/>
      <c r="AH660" s="117"/>
      <c r="AI660" s="117"/>
      <c r="AJ660" s="117"/>
      <c r="AK660" s="117"/>
      <c r="AL660" s="117"/>
      <c r="AM660" s="117"/>
      <c r="AN660" s="117"/>
      <c r="AO660" s="117"/>
      <c r="AP660" s="117"/>
      <c r="AQ660" s="117"/>
      <c r="AR660" s="117"/>
      <c r="AS660" s="117"/>
      <c r="AT660" s="117"/>
      <c r="AU660" s="117"/>
      <c r="AV660" s="117"/>
      <c r="AW660" s="117"/>
      <c r="AX660" s="117"/>
      <c r="AY660" s="117"/>
      <c r="AZ660" s="117"/>
      <c r="BA660" s="117"/>
      <c r="BB660" s="117"/>
      <c r="BC660" s="117"/>
      <c r="BD660" s="117"/>
      <c r="BE660" s="117"/>
      <c r="BF660" s="117"/>
      <c r="BG660" s="117"/>
      <c r="BH660" s="117"/>
      <c r="BI660" s="117"/>
      <c r="BJ660" s="117"/>
      <c r="BK660" s="117"/>
      <c r="BL660" s="117"/>
      <c r="BM660" s="117"/>
      <c r="BN660" s="117"/>
      <c r="BO660" s="117"/>
      <c r="BP660" s="117"/>
      <c r="BQ660" s="117"/>
      <c r="BR660" s="117"/>
      <c r="BS660" s="117"/>
      <c r="BT660" s="117"/>
      <c r="BU660" s="117"/>
      <c r="BV660" s="117"/>
      <c r="BW660" s="117"/>
      <c r="BX660" s="117"/>
      <c r="BY660" s="117"/>
      <c r="BZ660" s="117"/>
      <c r="CA660" s="117"/>
      <c r="CB660" s="117"/>
      <c r="CC660" s="117"/>
      <c r="CD660" s="117"/>
      <c r="CE660" s="117"/>
      <c r="CF660" s="117"/>
      <c r="CG660" s="117"/>
      <c r="CH660" s="117"/>
      <c r="CI660" s="117"/>
      <c r="CJ660" s="117"/>
      <c r="CK660" s="117"/>
      <c r="CL660" s="117"/>
      <c r="CM660" s="117"/>
      <c r="CN660" s="117"/>
      <c r="CO660" s="117"/>
      <c r="CP660" s="117"/>
      <c r="CQ660" s="117"/>
      <c r="CR660" s="117"/>
      <c r="CS660" s="117"/>
      <c r="CT660" s="117"/>
      <c r="CU660" s="117"/>
      <c r="CV660" s="117"/>
      <c r="CW660" s="117"/>
    </row>
    <row r="661" spans="1:101" x14ac:dyDescent="0.2">
      <c r="A661" s="249">
        <f t="shared" si="170"/>
        <v>602</v>
      </c>
      <c r="B661" s="249" t="s">
        <v>2010</v>
      </c>
      <c r="C661" s="232" t="s">
        <v>1903</v>
      </c>
      <c r="D661" s="232" t="s">
        <v>1620</v>
      </c>
      <c r="E661" s="283" t="s">
        <v>1621</v>
      </c>
      <c r="F661" s="283"/>
      <c r="G661" s="284">
        <f t="shared" si="171"/>
        <v>64</v>
      </c>
      <c r="H661" s="284">
        <f t="shared" si="172"/>
        <v>78</v>
      </c>
      <c r="I661" s="284">
        <v>15</v>
      </c>
      <c r="J661" s="284" t="s">
        <v>18</v>
      </c>
      <c r="K661" s="283"/>
      <c r="L661" s="284" t="s">
        <v>1547</v>
      </c>
      <c r="M661" s="186"/>
      <c r="N661" s="285" t="s">
        <v>1622</v>
      </c>
    </row>
    <row r="662" spans="1:101" s="117" customFormat="1" ht="15" x14ac:dyDescent="0.2">
      <c r="A662" s="288">
        <f t="shared" si="170"/>
        <v>603</v>
      </c>
      <c r="B662" s="292"/>
      <c r="C662" s="293"/>
      <c r="D662" s="294" t="s">
        <v>28</v>
      </c>
      <c r="E662" s="289" t="s">
        <v>14</v>
      </c>
      <c r="F662" s="289"/>
      <c r="G662" s="290">
        <f>H661+1</f>
        <v>79</v>
      </c>
      <c r="H662" s="290">
        <v>600</v>
      </c>
      <c r="I662" s="290">
        <f>H662-H661</f>
        <v>522</v>
      </c>
      <c r="J662" s="290" t="s">
        <v>15</v>
      </c>
      <c r="K662" s="289"/>
      <c r="L662" s="290"/>
      <c r="M662" s="291"/>
      <c r="N662" s="295" t="s">
        <v>29</v>
      </c>
    </row>
    <row r="663" spans="1:101" ht="14.45" customHeight="1" x14ac:dyDescent="0.2">
      <c r="A663" s="324"/>
      <c r="B663" s="325"/>
      <c r="C663" s="325"/>
      <c r="D663" s="325"/>
      <c r="E663" s="325"/>
      <c r="F663" s="325"/>
      <c r="G663" s="325"/>
      <c r="H663" s="325"/>
      <c r="I663" s="325"/>
      <c r="J663" s="325"/>
      <c r="K663" s="325"/>
      <c r="L663" s="325"/>
      <c r="M663" s="325"/>
      <c r="N663" s="326"/>
    </row>
    <row r="664" spans="1:101" s="279" customFormat="1" x14ac:dyDescent="0.2">
      <c r="A664" s="249">
        <f>A662+1</f>
        <v>604</v>
      </c>
      <c r="B664" s="249" t="s">
        <v>1974</v>
      </c>
      <c r="C664" s="232" t="s">
        <v>1869</v>
      </c>
      <c r="D664" s="232"/>
      <c r="E664" s="283" t="s">
        <v>14</v>
      </c>
      <c r="F664" s="283" t="s">
        <v>2012</v>
      </c>
      <c r="G664" s="284">
        <v>7</v>
      </c>
      <c r="H664" s="284">
        <v>9</v>
      </c>
      <c r="I664" s="284">
        <v>3</v>
      </c>
      <c r="J664" s="284" t="s">
        <v>18</v>
      </c>
      <c r="K664" s="283"/>
      <c r="L664" s="284"/>
      <c r="M664" s="186"/>
      <c r="N664" s="285" t="s">
        <v>1739</v>
      </c>
      <c r="O664" s="117"/>
      <c r="P664" s="117"/>
      <c r="Q664" s="117"/>
      <c r="R664" s="117"/>
      <c r="S664" s="117"/>
      <c r="T664" s="117"/>
      <c r="U664" s="117"/>
      <c r="V664" s="117"/>
      <c r="W664" s="117"/>
      <c r="X664" s="117"/>
      <c r="Y664" s="117"/>
      <c r="Z664" s="117"/>
      <c r="AA664" s="117"/>
      <c r="AB664" s="117"/>
      <c r="AC664" s="117"/>
      <c r="AD664" s="117"/>
      <c r="AE664" s="117"/>
      <c r="AF664" s="117"/>
      <c r="AG664" s="117"/>
      <c r="AH664" s="117"/>
      <c r="AI664" s="117"/>
      <c r="AJ664" s="117"/>
      <c r="AK664" s="117"/>
      <c r="AL664" s="117"/>
      <c r="AM664" s="117"/>
      <c r="AN664" s="117"/>
      <c r="AO664" s="117"/>
      <c r="AP664" s="117"/>
      <c r="AQ664" s="117"/>
      <c r="AR664" s="117"/>
      <c r="AS664" s="117"/>
      <c r="AT664" s="117"/>
      <c r="AU664" s="117"/>
      <c r="AV664" s="117"/>
      <c r="AW664" s="117"/>
      <c r="AX664" s="117"/>
      <c r="AY664" s="117"/>
      <c r="AZ664" s="117"/>
      <c r="BA664" s="117"/>
      <c r="BB664" s="117"/>
      <c r="BC664" s="117"/>
      <c r="BD664" s="117"/>
      <c r="BE664" s="117"/>
      <c r="BF664" s="117"/>
      <c r="BG664" s="117"/>
      <c r="BH664" s="117"/>
      <c r="BI664" s="117"/>
      <c r="BJ664" s="117"/>
      <c r="BK664" s="117"/>
      <c r="BL664" s="117"/>
      <c r="BM664" s="117"/>
      <c r="BN664" s="117"/>
      <c r="BO664" s="117"/>
      <c r="BP664" s="117"/>
      <c r="BQ664" s="117"/>
      <c r="BR664" s="117"/>
      <c r="BS664" s="117"/>
      <c r="BT664" s="117"/>
      <c r="BU664" s="117"/>
      <c r="BV664" s="117"/>
      <c r="BW664" s="117"/>
      <c r="BX664" s="117"/>
      <c r="BY664" s="117"/>
      <c r="BZ664" s="117"/>
      <c r="CA664" s="117"/>
      <c r="CB664" s="117"/>
      <c r="CC664" s="117"/>
      <c r="CD664" s="117"/>
      <c r="CE664" s="117"/>
      <c r="CF664" s="117"/>
      <c r="CG664" s="117"/>
      <c r="CH664" s="117"/>
      <c r="CI664" s="117"/>
      <c r="CJ664" s="117"/>
      <c r="CK664" s="117"/>
      <c r="CL664" s="117"/>
      <c r="CM664" s="117"/>
      <c r="CN664" s="117"/>
      <c r="CO664" s="117"/>
      <c r="CP664" s="117"/>
      <c r="CQ664" s="117"/>
      <c r="CR664" s="117"/>
      <c r="CS664" s="117"/>
      <c r="CT664" s="117"/>
      <c r="CU664" s="117"/>
      <c r="CV664" s="117"/>
      <c r="CW664" s="117"/>
    </row>
    <row r="665" spans="1:101" s="117" customFormat="1" x14ac:dyDescent="0.2">
      <c r="A665" s="249">
        <f t="shared" ref="A665:A692" si="173">A664+1</f>
        <v>605</v>
      </c>
      <c r="B665" s="249"/>
      <c r="C665" s="232"/>
      <c r="D665" s="172" t="s">
        <v>267</v>
      </c>
      <c r="E665" s="283">
        <v>99</v>
      </c>
      <c r="F665" s="283"/>
      <c r="G665" s="284">
        <f>H664+1</f>
        <v>10</v>
      </c>
      <c r="H665" s="284">
        <f>H664+I665</f>
        <v>12</v>
      </c>
      <c r="I665" s="284">
        <v>3</v>
      </c>
      <c r="J665" s="284" t="s">
        <v>18</v>
      </c>
      <c r="K665" s="283"/>
      <c r="L665" s="284"/>
      <c r="M665" s="164"/>
      <c r="N665" s="186" t="s">
        <v>268</v>
      </c>
    </row>
    <row r="666" spans="1:101" s="117" customFormat="1" x14ac:dyDescent="0.2">
      <c r="A666" s="249">
        <f t="shared" si="173"/>
        <v>606</v>
      </c>
      <c r="B666" s="249" t="s">
        <v>1966</v>
      </c>
      <c r="C666" s="232" t="s">
        <v>1971</v>
      </c>
      <c r="D666" s="232" t="s">
        <v>1626</v>
      </c>
      <c r="E666" s="283" t="s">
        <v>1627</v>
      </c>
      <c r="F666" s="283"/>
      <c r="G666" s="284">
        <f t="shared" ref="G666:G686" si="174">H665+1</f>
        <v>13</v>
      </c>
      <c r="H666" s="284">
        <f t="shared" ref="H666:H686" si="175">H665+I666</f>
        <v>27</v>
      </c>
      <c r="I666" s="284">
        <v>15</v>
      </c>
      <c r="J666" s="284" t="s">
        <v>18</v>
      </c>
      <c r="K666" s="283"/>
      <c r="L666" s="284" t="s">
        <v>1628</v>
      </c>
      <c r="M666" s="186"/>
      <c r="N666" s="285" t="s">
        <v>1629</v>
      </c>
    </row>
    <row r="667" spans="1:101" s="117" customFormat="1" x14ac:dyDescent="0.2">
      <c r="A667" s="249">
        <f t="shared" si="173"/>
        <v>607</v>
      </c>
      <c r="B667" s="249" t="s">
        <v>1967</v>
      </c>
      <c r="C667" s="232" t="s">
        <v>1972</v>
      </c>
      <c r="D667" s="232" t="s">
        <v>1630</v>
      </c>
      <c r="E667" s="283" t="s">
        <v>1631</v>
      </c>
      <c r="F667" s="283"/>
      <c r="G667" s="284">
        <f t="shared" si="174"/>
        <v>28</v>
      </c>
      <c r="H667" s="284">
        <f t="shared" si="175"/>
        <v>34</v>
      </c>
      <c r="I667" s="284">
        <v>7</v>
      </c>
      <c r="J667" s="284" t="s">
        <v>18</v>
      </c>
      <c r="K667" s="283"/>
      <c r="L667" s="284" t="s">
        <v>1529</v>
      </c>
      <c r="M667" s="186"/>
      <c r="N667" s="285" t="s">
        <v>1608</v>
      </c>
    </row>
    <row r="668" spans="1:101" s="117" customFormat="1" x14ac:dyDescent="0.2">
      <c r="A668" s="249">
        <f t="shared" si="173"/>
        <v>608</v>
      </c>
      <c r="B668" s="249" t="s">
        <v>1968</v>
      </c>
      <c r="C668" s="232" t="s">
        <v>1973</v>
      </c>
      <c r="D668" s="232" t="s">
        <v>1632</v>
      </c>
      <c r="E668" s="283" t="s">
        <v>1633</v>
      </c>
      <c r="F668" s="283"/>
      <c r="G668" s="284">
        <f t="shared" si="174"/>
        <v>35</v>
      </c>
      <c r="H668" s="284">
        <f t="shared" si="175"/>
        <v>41</v>
      </c>
      <c r="I668" s="284">
        <v>7</v>
      </c>
      <c r="J668" s="284" t="s">
        <v>18</v>
      </c>
      <c r="K668" s="283"/>
      <c r="L668" s="284" t="s">
        <v>1529</v>
      </c>
      <c r="M668" s="186"/>
      <c r="N668" s="285"/>
    </row>
    <row r="669" spans="1:101" s="117" customFormat="1" x14ac:dyDescent="0.2">
      <c r="A669" s="249">
        <f t="shared" si="173"/>
        <v>609</v>
      </c>
      <c r="B669" s="249" t="s">
        <v>1969</v>
      </c>
      <c r="C669" s="232" t="s">
        <v>1929</v>
      </c>
      <c r="D669" s="232" t="s">
        <v>1634</v>
      </c>
      <c r="E669" s="283" t="s">
        <v>1635</v>
      </c>
      <c r="F669" s="283"/>
      <c r="G669" s="284">
        <f t="shared" si="174"/>
        <v>42</v>
      </c>
      <c r="H669" s="284">
        <f t="shared" si="175"/>
        <v>56</v>
      </c>
      <c r="I669" s="284">
        <v>15</v>
      </c>
      <c r="J669" s="284" t="s">
        <v>18</v>
      </c>
      <c r="K669" s="283"/>
      <c r="L669" s="284" t="s">
        <v>1547</v>
      </c>
      <c r="M669" s="186"/>
      <c r="N669" s="285" t="s">
        <v>1636</v>
      </c>
    </row>
    <row r="670" spans="1:101" s="117" customFormat="1" x14ac:dyDescent="0.2">
      <c r="A670" s="249">
        <f t="shared" si="173"/>
        <v>610</v>
      </c>
      <c r="B670" s="249" t="s">
        <v>1970</v>
      </c>
      <c r="C670" s="232" t="s">
        <v>1930</v>
      </c>
      <c r="D670" s="232" t="s">
        <v>1637</v>
      </c>
      <c r="E670" s="283" t="s">
        <v>1638</v>
      </c>
      <c r="F670" s="283"/>
      <c r="G670" s="284">
        <f t="shared" si="174"/>
        <v>57</v>
      </c>
      <c r="H670" s="284">
        <f t="shared" si="175"/>
        <v>71</v>
      </c>
      <c r="I670" s="284">
        <v>15</v>
      </c>
      <c r="J670" s="284" t="s">
        <v>18</v>
      </c>
      <c r="K670" s="283"/>
      <c r="L670" s="284" t="s">
        <v>1547</v>
      </c>
      <c r="M670" s="186"/>
      <c r="N670" s="285"/>
    </row>
    <row r="671" spans="1:101" s="117" customFormat="1" x14ac:dyDescent="0.2">
      <c r="A671" s="249">
        <f t="shared" si="173"/>
        <v>611</v>
      </c>
      <c r="B671" s="249" t="s">
        <v>1975</v>
      </c>
      <c r="C671" s="232" t="s">
        <v>1980</v>
      </c>
      <c r="D671" s="232" t="s">
        <v>1639</v>
      </c>
      <c r="E671" s="283" t="s">
        <v>1640</v>
      </c>
      <c r="F671" s="283"/>
      <c r="G671" s="284">
        <f t="shared" si="174"/>
        <v>72</v>
      </c>
      <c r="H671" s="284">
        <f t="shared" si="175"/>
        <v>86</v>
      </c>
      <c r="I671" s="284">
        <v>15</v>
      </c>
      <c r="J671" s="284" t="s">
        <v>18</v>
      </c>
      <c r="K671" s="283"/>
      <c r="L671" s="284" t="s">
        <v>1628</v>
      </c>
      <c r="M671" s="186"/>
      <c r="N671" s="285" t="s">
        <v>1629</v>
      </c>
    </row>
    <row r="672" spans="1:101" s="117" customFormat="1" x14ac:dyDescent="0.2">
      <c r="A672" s="249">
        <f t="shared" si="173"/>
        <v>612</v>
      </c>
      <c r="B672" s="249" t="s">
        <v>1976</v>
      </c>
      <c r="C672" s="232" t="s">
        <v>1981</v>
      </c>
      <c r="D672" s="232" t="s">
        <v>1641</v>
      </c>
      <c r="E672" s="283" t="s">
        <v>1642</v>
      </c>
      <c r="F672" s="283"/>
      <c r="G672" s="284">
        <f t="shared" si="174"/>
        <v>87</v>
      </c>
      <c r="H672" s="284">
        <f t="shared" si="175"/>
        <v>93</v>
      </c>
      <c r="I672" s="284">
        <v>7</v>
      </c>
      <c r="J672" s="284" t="s">
        <v>18</v>
      </c>
      <c r="K672" s="283"/>
      <c r="L672" s="284" t="s">
        <v>1529</v>
      </c>
      <c r="M672" s="186"/>
      <c r="N672" s="285" t="s">
        <v>1608</v>
      </c>
    </row>
    <row r="673" spans="1:101" s="117" customFormat="1" x14ac:dyDescent="0.2">
      <c r="A673" s="249">
        <f t="shared" si="173"/>
        <v>613</v>
      </c>
      <c r="B673" s="249" t="s">
        <v>1977</v>
      </c>
      <c r="C673" s="232" t="s">
        <v>1931</v>
      </c>
      <c r="D673" s="232" t="s">
        <v>1643</v>
      </c>
      <c r="E673" s="283" t="s">
        <v>1644</v>
      </c>
      <c r="F673" s="283"/>
      <c r="G673" s="284">
        <f t="shared" si="174"/>
        <v>94</v>
      </c>
      <c r="H673" s="284">
        <f t="shared" si="175"/>
        <v>108</v>
      </c>
      <c r="I673" s="284">
        <v>15</v>
      </c>
      <c r="J673" s="284" t="s">
        <v>18</v>
      </c>
      <c r="K673" s="283"/>
      <c r="L673" s="284" t="s">
        <v>1547</v>
      </c>
      <c r="M673" s="186"/>
      <c r="N673" s="285" t="s">
        <v>1636</v>
      </c>
    </row>
    <row r="674" spans="1:101" s="117" customFormat="1" x14ac:dyDescent="0.2">
      <c r="A674" s="249">
        <f t="shared" si="173"/>
        <v>614</v>
      </c>
      <c r="B674" s="249" t="s">
        <v>1978</v>
      </c>
      <c r="C674" s="232" t="s">
        <v>1982</v>
      </c>
      <c r="D674" s="232" t="s">
        <v>1643</v>
      </c>
      <c r="E674" s="283" t="s">
        <v>1645</v>
      </c>
      <c r="F674" s="283"/>
      <c r="G674" s="284">
        <f t="shared" si="174"/>
        <v>109</v>
      </c>
      <c r="H674" s="284">
        <f t="shared" si="175"/>
        <v>115</v>
      </c>
      <c r="I674" s="284">
        <v>7</v>
      </c>
      <c r="J674" s="284" t="s">
        <v>18</v>
      </c>
      <c r="K674" s="283"/>
      <c r="L674" s="284" t="s">
        <v>1529</v>
      </c>
      <c r="M674" s="186"/>
      <c r="N674" s="285"/>
    </row>
    <row r="675" spans="1:101" s="117" customFormat="1" x14ac:dyDescent="0.2">
      <c r="A675" s="249">
        <f t="shared" si="173"/>
        <v>615</v>
      </c>
      <c r="B675" s="249" t="s">
        <v>1979</v>
      </c>
      <c r="C675" s="232" t="s">
        <v>1932</v>
      </c>
      <c r="D675" s="232" t="s">
        <v>1646</v>
      </c>
      <c r="E675" s="283" t="s">
        <v>1647</v>
      </c>
      <c r="F675" s="283"/>
      <c r="G675" s="284">
        <f t="shared" si="174"/>
        <v>116</v>
      </c>
      <c r="H675" s="284">
        <f t="shared" si="175"/>
        <v>130</v>
      </c>
      <c r="I675" s="284">
        <v>15</v>
      </c>
      <c r="J675" s="284" t="s">
        <v>18</v>
      </c>
      <c r="K675" s="283"/>
      <c r="L675" s="284" t="s">
        <v>1547</v>
      </c>
      <c r="M675" s="186"/>
      <c r="N675" s="285"/>
    </row>
    <row r="676" spans="1:101" s="117" customFormat="1" x14ac:dyDescent="0.2">
      <c r="A676" s="249">
        <f t="shared" si="173"/>
        <v>616</v>
      </c>
      <c r="B676" s="249" t="s">
        <v>1983</v>
      </c>
      <c r="C676" s="232" t="s">
        <v>1986</v>
      </c>
      <c r="D676" s="232" t="s">
        <v>1648</v>
      </c>
      <c r="E676" s="283" t="s">
        <v>1649</v>
      </c>
      <c r="F676" s="283"/>
      <c r="G676" s="284">
        <f t="shared" si="174"/>
        <v>131</v>
      </c>
      <c r="H676" s="284">
        <f t="shared" si="175"/>
        <v>145</v>
      </c>
      <c r="I676" s="284">
        <v>15</v>
      </c>
      <c r="J676" s="284" t="s">
        <v>18</v>
      </c>
      <c r="K676" s="283"/>
      <c r="L676" s="284" t="s">
        <v>1628</v>
      </c>
      <c r="M676" s="186"/>
      <c r="N676" s="285" t="s">
        <v>1650</v>
      </c>
    </row>
    <row r="677" spans="1:101" s="117" customFormat="1" x14ac:dyDescent="0.2">
      <c r="A677" s="249">
        <f t="shared" si="173"/>
        <v>617</v>
      </c>
      <c r="B677" s="249" t="s">
        <v>1984</v>
      </c>
      <c r="C677" s="232" t="s">
        <v>1987</v>
      </c>
      <c r="D677" s="232" t="s">
        <v>1651</v>
      </c>
      <c r="E677" s="283" t="s">
        <v>1652</v>
      </c>
      <c r="F677" s="283"/>
      <c r="G677" s="284">
        <f t="shared" si="174"/>
        <v>146</v>
      </c>
      <c r="H677" s="284">
        <f t="shared" si="175"/>
        <v>152</v>
      </c>
      <c r="I677" s="284">
        <v>7</v>
      </c>
      <c r="J677" s="284" t="s">
        <v>18</v>
      </c>
      <c r="K677" s="283"/>
      <c r="L677" s="284" t="s">
        <v>1529</v>
      </c>
      <c r="M677" s="186"/>
      <c r="N677" s="285" t="s">
        <v>1653</v>
      </c>
    </row>
    <row r="678" spans="1:101" s="117" customFormat="1" x14ac:dyDescent="0.2">
      <c r="A678" s="249">
        <f t="shared" si="173"/>
        <v>618</v>
      </c>
      <c r="B678" s="249" t="s">
        <v>1985</v>
      </c>
      <c r="C678" s="232" t="s">
        <v>1933</v>
      </c>
      <c r="D678" s="232" t="s">
        <v>1654</v>
      </c>
      <c r="E678" s="283" t="s">
        <v>1655</v>
      </c>
      <c r="F678" s="283"/>
      <c r="G678" s="284">
        <f t="shared" si="174"/>
        <v>153</v>
      </c>
      <c r="H678" s="284">
        <f t="shared" si="175"/>
        <v>167</v>
      </c>
      <c r="I678" s="284">
        <v>15</v>
      </c>
      <c r="J678" s="284" t="s">
        <v>18</v>
      </c>
      <c r="K678" s="283"/>
      <c r="L678" s="284" t="s">
        <v>1547</v>
      </c>
      <c r="M678" s="186"/>
      <c r="N678" s="285" t="s">
        <v>1656</v>
      </c>
    </row>
    <row r="679" spans="1:101" s="117" customFormat="1" x14ac:dyDescent="0.2">
      <c r="A679" s="249">
        <f t="shared" si="173"/>
        <v>619</v>
      </c>
      <c r="B679" s="249" t="s">
        <v>1988</v>
      </c>
      <c r="C679" s="232" t="s">
        <v>1990</v>
      </c>
      <c r="D679" s="232" t="s">
        <v>1657</v>
      </c>
      <c r="E679" s="283" t="s">
        <v>1658</v>
      </c>
      <c r="F679" s="283"/>
      <c r="G679" s="284">
        <f t="shared" si="174"/>
        <v>168</v>
      </c>
      <c r="H679" s="284">
        <f t="shared" si="175"/>
        <v>174</v>
      </c>
      <c r="I679" s="284">
        <v>7</v>
      </c>
      <c r="J679" s="284" t="s">
        <v>18</v>
      </c>
      <c r="K679" s="283"/>
      <c r="L679" s="284" t="s">
        <v>1529</v>
      </c>
      <c r="M679" s="186"/>
      <c r="N679" s="285" t="s">
        <v>1659</v>
      </c>
    </row>
    <row r="680" spans="1:101" s="117" customFormat="1" x14ac:dyDescent="0.2">
      <c r="A680" s="249">
        <f t="shared" si="173"/>
        <v>620</v>
      </c>
      <c r="B680" s="249" t="s">
        <v>1989</v>
      </c>
      <c r="C680" s="232" t="s">
        <v>1934</v>
      </c>
      <c r="D680" s="232" t="s">
        <v>1660</v>
      </c>
      <c r="E680" s="283" t="s">
        <v>1661</v>
      </c>
      <c r="F680" s="283"/>
      <c r="G680" s="284">
        <f t="shared" si="174"/>
        <v>175</v>
      </c>
      <c r="H680" s="284">
        <f t="shared" si="175"/>
        <v>189</v>
      </c>
      <c r="I680" s="284">
        <v>15</v>
      </c>
      <c r="J680" s="284" t="s">
        <v>18</v>
      </c>
      <c r="K680" s="283"/>
      <c r="L680" s="284" t="s">
        <v>1547</v>
      </c>
      <c r="M680" s="186"/>
      <c r="N680" s="285" t="s">
        <v>1662</v>
      </c>
    </row>
    <row r="681" spans="1:101" s="117" customFormat="1" x14ac:dyDescent="0.2">
      <c r="A681" s="249">
        <f t="shared" si="173"/>
        <v>621</v>
      </c>
      <c r="B681" s="249" t="s">
        <v>1991</v>
      </c>
      <c r="C681" s="232" t="s">
        <v>1995</v>
      </c>
      <c r="D681" s="232" t="s">
        <v>1663</v>
      </c>
      <c r="E681" s="283" t="s">
        <v>1664</v>
      </c>
      <c r="F681" s="283"/>
      <c r="G681" s="284">
        <f t="shared" si="174"/>
        <v>190</v>
      </c>
      <c r="H681" s="284">
        <f t="shared" si="175"/>
        <v>196</v>
      </c>
      <c r="I681" s="284">
        <v>7</v>
      </c>
      <c r="J681" s="284" t="s">
        <v>18</v>
      </c>
      <c r="K681" s="283"/>
      <c r="L681" s="284" t="s">
        <v>1529</v>
      </c>
      <c r="M681" s="186"/>
      <c r="N681" s="285" t="s">
        <v>1665</v>
      </c>
    </row>
    <row r="682" spans="1:101" s="117" customFormat="1" x14ac:dyDescent="0.2">
      <c r="A682" s="249">
        <f t="shared" si="173"/>
        <v>622</v>
      </c>
      <c r="B682" s="249" t="s">
        <v>1992</v>
      </c>
      <c r="C682" s="232" t="s">
        <v>1996</v>
      </c>
      <c r="D682" s="232" t="s">
        <v>1666</v>
      </c>
      <c r="E682" s="283" t="s">
        <v>1667</v>
      </c>
      <c r="F682" s="283"/>
      <c r="G682" s="284">
        <f t="shared" si="174"/>
        <v>197</v>
      </c>
      <c r="H682" s="284">
        <f t="shared" si="175"/>
        <v>211</v>
      </c>
      <c r="I682" s="284">
        <v>15</v>
      </c>
      <c r="J682" s="284" t="s">
        <v>18</v>
      </c>
      <c r="K682" s="283"/>
      <c r="L682" s="284" t="s">
        <v>1547</v>
      </c>
      <c r="M682" s="186"/>
      <c r="N682" s="285" t="s">
        <v>1668</v>
      </c>
    </row>
    <row r="683" spans="1:101" s="117" customFormat="1" x14ac:dyDescent="0.2">
      <c r="A683" s="249">
        <f t="shared" si="173"/>
        <v>623</v>
      </c>
      <c r="B683" s="249" t="s">
        <v>1993</v>
      </c>
      <c r="C683" s="232" t="s">
        <v>1997</v>
      </c>
      <c r="D683" s="232" t="s">
        <v>1669</v>
      </c>
      <c r="E683" s="283" t="s">
        <v>1670</v>
      </c>
      <c r="F683" s="283"/>
      <c r="G683" s="284">
        <f t="shared" si="174"/>
        <v>212</v>
      </c>
      <c r="H683" s="284">
        <f t="shared" si="175"/>
        <v>218</v>
      </c>
      <c r="I683" s="284">
        <v>7</v>
      </c>
      <c r="J683" s="284" t="s">
        <v>18</v>
      </c>
      <c r="K683" s="283"/>
      <c r="L683" s="284" t="s">
        <v>1529</v>
      </c>
      <c r="M683" s="186"/>
      <c r="N683" s="285" t="s">
        <v>1671</v>
      </c>
    </row>
    <row r="684" spans="1:101" s="117" customFormat="1" x14ac:dyDescent="0.2">
      <c r="A684" s="249">
        <f t="shared" si="173"/>
        <v>624</v>
      </c>
      <c r="B684" s="249" t="s">
        <v>1994</v>
      </c>
      <c r="C684" s="232" t="s">
        <v>1998</v>
      </c>
      <c r="D684" s="232" t="s">
        <v>1672</v>
      </c>
      <c r="E684" s="283" t="s">
        <v>1673</v>
      </c>
      <c r="F684" s="283"/>
      <c r="G684" s="284">
        <f t="shared" si="174"/>
        <v>219</v>
      </c>
      <c r="H684" s="284">
        <f t="shared" si="175"/>
        <v>233</v>
      </c>
      <c r="I684" s="284">
        <v>15</v>
      </c>
      <c r="J684" s="284" t="s">
        <v>18</v>
      </c>
      <c r="K684" s="283"/>
      <c r="L684" s="284" t="s">
        <v>1547</v>
      </c>
      <c r="M684" s="186"/>
      <c r="N684" s="285" t="s">
        <v>1674</v>
      </c>
    </row>
    <row r="685" spans="1:101" s="117" customFormat="1" x14ac:dyDescent="0.2">
      <c r="A685" s="249">
        <f t="shared" si="173"/>
        <v>625</v>
      </c>
      <c r="B685" s="249" t="s">
        <v>1999</v>
      </c>
      <c r="C685" s="232" t="s">
        <v>2001</v>
      </c>
      <c r="D685" s="232" t="s">
        <v>1675</v>
      </c>
      <c r="E685" s="283" t="s">
        <v>1676</v>
      </c>
      <c r="F685" s="283"/>
      <c r="G685" s="284">
        <f t="shared" si="174"/>
        <v>234</v>
      </c>
      <c r="H685" s="284">
        <f t="shared" si="175"/>
        <v>248</v>
      </c>
      <c r="I685" s="284">
        <v>15</v>
      </c>
      <c r="J685" s="284" t="s">
        <v>18</v>
      </c>
      <c r="K685" s="283"/>
      <c r="L685" s="284" t="s">
        <v>1547</v>
      </c>
      <c r="M685" s="186"/>
      <c r="N685" s="285"/>
    </row>
    <row r="686" spans="1:101" s="117" customFormat="1" x14ac:dyDescent="0.2">
      <c r="A686" s="249">
        <f t="shared" si="173"/>
        <v>626</v>
      </c>
      <c r="B686" s="249" t="s">
        <v>2000</v>
      </c>
      <c r="C686" s="232" t="s">
        <v>2002</v>
      </c>
      <c r="D686" s="232" t="s">
        <v>1677</v>
      </c>
      <c r="E686" s="283" t="s">
        <v>1678</v>
      </c>
      <c r="F686" s="283"/>
      <c r="G686" s="284">
        <f t="shared" si="174"/>
        <v>249</v>
      </c>
      <c r="H686" s="284">
        <f t="shared" si="175"/>
        <v>263</v>
      </c>
      <c r="I686" s="284">
        <v>15</v>
      </c>
      <c r="J686" s="284" t="s">
        <v>18</v>
      </c>
      <c r="K686" s="283"/>
      <c r="L686" s="284" t="s">
        <v>1547</v>
      </c>
      <c r="M686" s="186"/>
      <c r="N686" s="285"/>
    </row>
    <row r="687" spans="1:101" s="117" customFormat="1" x14ac:dyDescent="0.2">
      <c r="A687" s="249">
        <f t="shared" si="173"/>
        <v>627</v>
      </c>
      <c r="B687" s="249" t="s">
        <v>2003</v>
      </c>
      <c r="C687" s="232" t="s">
        <v>1953</v>
      </c>
      <c r="D687" s="232" t="s">
        <v>1679</v>
      </c>
      <c r="E687" s="283">
        <v>324107</v>
      </c>
      <c r="F687" s="283"/>
      <c r="G687" s="284">
        <f>H686+1</f>
        <v>264</v>
      </c>
      <c r="H687" s="284">
        <f>H686+I687</f>
        <v>278</v>
      </c>
      <c r="I687" s="284">
        <v>15</v>
      </c>
      <c r="J687" s="284" t="s">
        <v>18</v>
      </c>
      <c r="K687" s="283"/>
      <c r="L687" s="284" t="s">
        <v>1547</v>
      </c>
      <c r="M687" s="186"/>
      <c r="N687" s="285"/>
    </row>
    <row r="688" spans="1:101" s="279" customFormat="1" x14ac:dyDescent="0.2">
      <c r="A688" s="249">
        <f t="shared" si="173"/>
        <v>628</v>
      </c>
      <c r="B688" s="249" t="s">
        <v>2004</v>
      </c>
      <c r="C688" s="232" t="s">
        <v>1959</v>
      </c>
      <c r="D688" s="232" t="s">
        <v>1680</v>
      </c>
      <c r="E688" s="283" t="s">
        <v>1681</v>
      </c>
      <c r="F688" s="283"/>
      <c r="G688" s="284">
        <f>H687+1</f>
        <v>279</v>
      </c>
      <c r="H688" s="284">
        <f>H687+I688</f>
        <v>293</v>
      </c>
      <c r="I688" s="284">
        <v>15</v>
      </c>
      <c r="J688" s="284" t="s">
        <v>18</v>
      </c>
      <c r="K688" s="283"/>
      <c r="L688" s="284" t="s">
        <v>1547</v>
      </c>
      <c r="M688" s="186"/>
      <c r="N688" s="285"/>
      <c r="O688" s="117"/>
      <c r="P688" s="117"/>
      <c r="Q688" s="117"/>
      <c r="R688" s="117"/>
      <c r="S688" s="117"/>
      <c r="T688" s="117"/>
      <c r="U688" s="117"/>
      <c r="V688" s="117"/>
      <c r="W688" s="117"/>
      <c r="X688" s="117"/>
      <c r="Y688" s="117"/>
      <c r="Z688" s="117"/>
      <c r="AA688" s="117"/>
      <c r="AB688" s="117"/>
      <c r="AC688" s="117"/>
      <c r="AD688" s="117"/>
      <c r="AE688" s="117"/>
      <c r="AF688" s="117"/>
      <c r="AG688" s="117"/>
      <c r="AH688" s="117"/>
      <c r="AI688" s="117"/>
      <c r="AJ688" s="117"/>
      <c r="AK688" s="117"/>
      <c r="AL688" s="117"/>
      <c r="AM688" s="117"/>
      <c r="AN688" s="117"/>
      <c r="AO688" s="117"/>
      <c r="AP688" s="117"/>
      <c r="AQ688" s="117"/>
      <c r="AR688" s="117"/>
      <c r="AS688" s="117"/>
      <c r="AT688" s="117"/>
      <c r="AU688" s="117"/>
      <c r="AV688" s="117"/>
      <c r="AW688" s="117"/>
      <c r="AX688" s="117"/>
      <c r="AY688" s="117"/>
      <c r="AZ688" s="117"/>
      <c r="BA688" s="117"/>
      <c r="BB688" s="117"/>
      <c r="BC688" s="117"/>
      <c r="BD688" s="117"/>
      <c r="BE688" s="117"/>
      <c r="BF688" s="117"/>
      <c r="BG688" s="117"/>
      <c r="BH688" s="117"/>
      <c r="BI688" s="117"/>
      <c r="BJ688" s="117"/>
      <c r="BK688" s="117"/>
      <c r="BL688" s="117"/>
      <c r="BM688" s="117"/>
      <c r="BN688" s="117"/>
      <c r="BO688" s="117"/>
      <c r="BP688" s="117"/>
      <c r="BQ688" s="117"/>
      <c r="BR688" s="117"/>
      <c r="BS688" s="117"/>
      <c r="BT688" s="117"/>
      <c r="BU688" s="117"/>
      <c r="BV688" s="117"/>
      <c r="BW688" s="117"/>
      <c r="BX688" s="117"/>
      <c r="BY688" s="117"/>
      <c r="BZ688" s="117"/>
      <c r="CA688" s="117"/>
      <c r="CB688" s="117"/>
      <c r="CC688" s="117"/>
      <c r="CD688" s="117"/>
      <c r="CE688" s="117"/>
      <c r="CF688" s="117"/>
      <c r="CG688" s="117"/>
      <c r="CH688" s="117"/>
      <c r="CI688" s="117"/>
      <c r="CJ688" s="117"/>
      <c r="CK688" s="117"/>
      <c r="CL688" s="117"/>
      <c r="CM688" s="117"/>
      <c r="CN688" s="117"/>
      <c r="CO688" s="117"/>
      <c r="CP688" s="117"/>
      <c r="CQ688" s="117"/>
      <c r="CR688" s="117"/>
      <c r="CS688" s="117"/>
      <c r="CT688" s="117"/>
      <c r="CU688" s="117"/>
      <c r="CV688" s="117"/>
      <c r="CW688" s="117"/>
    </row>
    <row r="689" spans="1:101" s="117" customFormat="1" x14ac:dyDescent="0.2">
      <c r="A689" s="307">
        <f t="shared" si="173"/>
        <v>629</v>
      </c>
      <c r="B689" s="307" t="s">
        <v>2140</v>
      </c>
      <c r="C689" s="308" t="s">
        <v>2047</v>
      </c>
      <c r="D689" s="308" t="s">
        <v>2049</v>
      </c>
      <c r="E689" s="310" t="s">
        <v>2143</v>
      </c>
      <c r="F689" s="310"/>
      <c r="G689" s="311">
        <f t="shared" ref="G689:G691" si="176">H688+1</f>
        <v>294</v>
      </c>
      <c r="H689" s="311">
        <f t="shared" ref="H689:H691" si="177">H688+I689</f>
        <v>300</v>
      </c>
      <c r="I689" s="311">
        <v>7</v>
      </c>
      <c r="J689" s="311" t="s">
        <v>15</v>
      </c>
      <c r="K689" s="310"/>
      <c r="L689" s="311"/>
      <c r="M689" s="312"/>
      <c r="N689" s="322" t="s">
        <v>2053</v>
      </c>
    </row>
    <row r="690" spans="1:101" s="279" customFormat="1" x14ac:dyDescent="0.2">
      <c r="A690" s="307">
        <f t="shared" si="173"/>
        <v>630</v>
      </c>
      <c r="B690" s="307" t="s">
        <v>2141</v>
      </c>
      <c r="C690" s="308" t="s">
        <v>1953</v>
      </c>
      <c r="D690" s="308" t="s">
        <v>1576</v>
      </c>
      <c r="E690" s="310" t="s">
        <v>2144</v>
      </c>
      <c r="F690" s="310"/>
      <c r="G690" s="311">
        <f t="shared" si="176"/>
        <v>301</v>
      </c>
      <c r="H690" s="311">
        <f t="shared" si="177"/>
        <v>315</v>
      </c>
      <c r="I690" s="311">
        <v>15</v>
      </c>
      <c r="J690" s="311" t="s">
        <v>18</v>
      </c>
      <c r="K690" s="310"/>
      <c r="L690" s="311" t="s">
        <v>1547</v>
      </c>
      <c r="M690" s="312"/>
      <c r="N690" s="322"/>
      <c r="O690" s="117"/>
      <c r="P690" s="117"/>
      <c r="Q690" s="117"/>
      <c r="R690" s="117"/>
      <c r="S690" s="117"/>
      <c r="T690" s="117"/>
      <c r="U690" s="117"/>
      <c r="V690" s="117"/>
      <c r="W690" s="117"/>
      <c r="X690" s="117"/>
      <c r="Y690" s="117"/>
      <c r="Z690" s="117"/>
      <c r="AA690" s="117"/>
      <c r="AB690" s="117"/>
      <c r="AC690" s="117"/>
      <c r="AD690" s="117"/>
      <c r="AE690" s="117"/>
      <c r="AF690" s="117"/>
      <c r="AG690" s="117"/>
      <c r="AH690" s="117"/>
      <c r="AI690" s="117"/>
      <c r="AJ690" s="117"/>
      <c r="AK690" s="117"/>
      <c r="AL690" s="117"/>
      <c r="AM690" s="117"/>
      <c r="AN690" s="117"/>
      <c r="AO690" s="117"/>
      <c r="AP690" s="117"/>
      <c r="AQ690" s="117"/>
      <c r="AR690" s="117"/>
      <c r="AS690" s="117"/>
      <c r="AT690" s="117"/>
      <c r="AU690" s="117"/>
      <c r="AV690" s="117"/>
      <c r="AW690" s="117"/>
      <c r="AX690" s="117"/>
      <c r="AY690" s="117"/>
      <c r="AZ690" s="117"/>
      <c r="BA690" s="117"/>
      <c r="BB690" s="117"/>
      <c r="BC690" s="117"/>
      <c r="BD690" s="117"/>
      <c r="BE690" s="117"/>
      <c r="BF690" s="117"/>
      <c r="BG690" s="117"/>
      <c r="BH690" s="117"/>
      <c r="BI690" s="117"/>
      <c r="BJ690" s="117"/>
      <c r="BK690" s="117"/>
      <c r="BL690" s="117"/>
      <c r="BM690" s="117"/>
      <c r="BN690" s="117"/>
      <c r="BO690" s="117"/>
      <c r="BP690" s="117"/>
      <c r="BQ690" s="117"/>
      <c r="BR690" s="117"/>
      <c r="BS690" s="117"/>
      <c r="BT690" s="117"/>
      <c r="BU690" s="117"/>
      <c r="BV690" s="117"/>
      <c r="BW690" s="117"/>
      <c r="BX690" s="117"/>
      <c r="BY690" s="117"/>
      <c r="BZ690" s="117"/>
      <c r="CA690" s="117"/>
      <c r="CB690" s="117"/>
      <c r="CC690" s="117"/>
      <c r="CD690" s="117"/>
      <c r="CE690" s="117"/>
      <c r="CF690" s="117"/>
      <c r="CG690" s="117"/>
      <c r="CH690" s="117"/>
      <c r="CI690" s="117"/>
      <c r="CJ690" s="117"/>
      <c r="CK690" s="117"/>
      <c r="CL690" s="117"/>
      <c r="CM690" s="117"/>
      <c r="CN690" s="117"/>
      <c r="CO690" s="117"/>
      <c r="CP690" s="117"/>
      <c r="CQ690" s="117"/>
      <c r="CR690" s="117"/>
      <c r="CS690" s="117"/>
      <c r="CT690" s="117"/>
      <c r="CU690" s="117"/>
      <c r="CV690" s="117"/>
      <c r="CW690" s="117"/>
    </row>
    <row r="691" spans="1:101" s="279" customFormat="1" x14ac:dyDescent="0.2">
      <c r="A691" s="307">
        <f t="shared" si="173"/>
        <v>631</v>
      </c>
      <c r="B691" s="313" t="s">
        <v>2142</v>
      </c>
      <c r="C691" s="314" t="s">
        <v>1959</v>
      </c>
      <c r="D691" s="308" t="s">
        <v>1590</v>
      </c>
      <c r="E691" s="310" t="s">
        <v>2145</v>
      </c>
      <c r="F691" s="310"/>
      <c r="G691" s="311">
        <f t="shared" si="176"/>
        <v>316</v>
      </c>
      <c r="H691" s="311">
        <f t="shared" si="177"/>
        <v>330</v>
      </c>
      <c r="I691" s="311">
        <v>15</v>
      </c>
      <c r="J691" s="311" t="s">
        <v>18</v>
      </c>
      <c r="K691" s="310"/>
      <c r="L691" s="311" t="s">
        <v>1547</v>
      </c>
      <c r="M691" s="312"/>
      <c r="N691" s="322"/>
      <c r="O691" s="117"/>
      <c r="P691" s="117"/>
      <c r="Q691" s="117"/>
      <c r="R691" s="117"/>
      <c r="S691" s="117"/>
      <c r="T691" s="117"/>
      <c r="U691" s="117"/>
      <c r="V691" s="117"/>
      <c r="W691" s="117"/>
      <c r="X691" s="117"/>
      <c r="Y691" s="117"/>
      <c r="Z691" s="117"/>
      <c r="AA691" s="117"/>
      <c r="AB691" s="117"/>
      <c r="AC691" s="117"/>
      <c r="AD691" s="117"/>
      <c r="AE691" s="117"/>
      <c r="AF691" s="117"/>
      <c r="AG691" s="117"/>
      <c r="AH691" s="117"/>
      <c r="AI691" s="117"/>
      <c r="AJ691" s="117"/>
      <c r="AK691" s="117"/>
      <c r="AL691" s="117"/>
      <c r="AM691" s="117"/>
      <c r="AN691" s="117"/>
      <c r="AO691" s="117"/>
      <c r="AP691" s="117"/>
      <c r="AQ691" s="117"/>
      <c r="AR691" s="117"/>
      <c r="AS691" s="117"/>
      <c r="AT691" s="117"/>
      <c r="AU691" s="117"/>
      <c r="AV691" s="117"/>
      <c r="AW691" s="117"/>
      <c r="AX691" s="117"/>
      <c r="AY691" s="117"/>
      <c r="AZ691" s="117"/>
      <c r="BA691" s="117"/>
      <c r="BB691" s="117"/>
      <c r="BC691" s="117"/>
      <c r="BD691" s="117"/>
      <c r="BE691" s="117"/>
      <c r="BF691" s="117"/>
      <c r="BG691" s="117"/>
      <c r="BH691" s="117"/>
      <c r="BI691" s="117"/>
      <c r="BJ691" s="117"/>
      <c r="BK691" s="117"/>
      <c r="BL691" s="117"/>
      <c r="BM691" s="117"/>
      <c r="BN691" s="117"/>
      <c r="BO691" s="117"/>
      <c r="BP691" s="117"/>
      <c r="BQ691" s="117"/>
      <c r="BR691" s="117"/>
      <c r="BS691" s="117"/>
      <c r="BT691" s="117"/>
      <c r="BU691" s="117"/>
      <c r="BV691" s="117"/>
      <c r="BW691" s="117"/>
      <c r="BX691" s="117"/>
      <c r="BY691" s="117"/>
      <c r="BZ691" s="117"/>
      <c r="CA691" s="117"/>
      <c r="CB691" s="117"/>
      <c r="CC691" s="117"/>
      <c r="CD691" s="117"/>
      <c r="CE691" s="117"/>
      <c r="CF691" s="117"/>
      <c r="CG691" s="117"/>
      <c r="CH691" s="117"/>
      <c r="CI691" s="117"/>
      <c r="CJ691" s="117"/>
      <c r="CK691" s="117"/>
      <c r="CL691" s="117"/>
      <c r="CM691" s="117"/>
      <c r="CN691" s="117"/>
      <c r="CO691" s="117"/>
      <c r="CP691" s="117"/>
      <c r="CQ691" s="117"/>
      <c r="CR691" s="117"/>
      <c r="CS691" s="117"/>
      <c r="CT691" s="117"/>
      <c r="CU691" s="117"/>
      <c r="CV691" s="117"/>
      <c r="CW691" s="117"/>
    </row>
    <row r="692" spans="1:101" s="117" customFormat="1" ht="15" x14ac:dyDescent="0.2">
      <c r="A692" s="292">
        <f t="shared" si="173"/>
        <v>632</v>
      </c>
      <c r="B692" s="292"/>
      <c r="C692" s="293"/>
      <c r="D692" s="294" t="s">
        <v>28</v>
      </c>
      <c r="E692" s="289" t="s">
        <v>14</v>
      </c>
      <c r="F692" s="289"/>
      <c r="G692" s="290">
        <f>H691+1</f>
        <v>331</v>
      </c>
      <c r="H692" s="290">
        <v>600</v>
      </c>
      <c r="I692" s="290">
        <f>H692-H691</f>
        <v>270</v>
      </c>
      <c r="J692" s="290" t="s">
        <v>15</v>
      </c>
      <c r="K692" s="289"/>
      <c r="L692" s="290"/>
      <c r="M692" s="291"/>
      <c r="N692" s="295" t="s">
        <v>29</v>
      </c>
    </row>
    <row r="693" spans="1:101" ht="14.45" customHeight="1" x14ac:dyDescent="0.2">
      <c r="A693" s="324"/>
      <c r="B693" s="325"/>
      <c r="C693" s="325"/>
      <c r="D693" s="325"/>
      <c r="E693" s="325"/>
      <c r="F693" s="325"/>
      <c r="G693" s="325"/>
      <c r="H693" s="325"/>
      <c r="I693" s="325"/>
      <c r="J693" s="325"/>
      <c r="K693" s="325"/>
      <c r="L693" s="325"/>
      <c r="M693" s="325"/>
      <c r="N693" s="326"/>
    </row>
    <row r="694" spans="1:101" s="279" customFormat="1" x14ac:dyDescent="0.2">
      <c r="A694" s="249">
        <f>A692+1</f>
        <v>633</v>
      </c>
      <c r="B694" s="249" t="s">
        <v>2134</v>
      </c>
      <c r="C694" s="232" t="s">
        <v>1870</v>
      </c>
      <c r="D694" s="232"/>
      <c r="E694" s="283" t="s">
        <v>14</v>
      </c>
      <c r="F694" s="283" t="s">
        <v>2135</v>
      </c>
      <c r="G694" s="284">
        <v>7</v>
      </c>
      <c r="H694" s="284">
        <v>9</v>
      </c>
      <c r="I694" s="284">
        <v>3</v>
      </c>
      <c r="J694" s="284" t="s">
        <v>18</v>
      </c>
      <c r="K694" s="283"/>
      <c r="L694" s="284"/>
      <c r="M694" s="186"/>
      <c r="N694" s="285" t="s">
        <v>1871</v>
      </c>
      <c r="O694" s="117"/>
      <c r="P694" s="117"/>
      <c r="Q694" s="117"/>
      <c r="R694" s="117"/>
      <c r="S694" s="117"/>
      <c r="T694" s="117"/>
      <c r="U694" s="117"/>
      <c r="V694" s="117"/>
      <c r="W694" s="117"/>
      <c r="X694" s="117"/>
      <c r="Y694" s="117"/>
      <c r="Z694" s="117"/>
      <c r="AA694" s="117"/>
      <c r="AB694" s="117"/>
      <c r="AC694" s="117"/>
      <c r="AD694" s="117"/>
      <c r="AE694" s="117"/>
      <c r="AF694" s="117"/>
      <c r="AG694" s="117"/>
      <c r="AH694" s="117"/>
      <c r="AI694" s="117"/>
      <c r="AJ694" s="117"/>
      <c r="AK694" s="117"/>
      <c r="AL694" s="117"/>
      <c r="AM694" s="117"/>
      <c r="AN694" s="117"/>
      <c r="AO694" s="117"/>
      <c r="AP694" s="117"/>
      <c r="AQ694" s="117"/>
      <c r="AR694" s="117"/>
      <c r="AS694" s="117"/>
      <c r="AT694" s="117"/>
      <c r="AU694" s="117"/>
      <c r="AV694" s="117"/>
      <c r="AW694" s="117"/>
      <c r="AX694" s="117"/>
      <c r="AY694" s="117"/>
      <c r="AZ694" s="117"/>
      <c r="BA694" s="117"/>
      <c r="BB694" s="117"/>
      <c r="BC694" s="117"/>
      <c r="BD694" s="117"/>
      <c r="BE694" s="117"/>
      <c r="BF694" s="117"/>
      <c r="BG694" s="117"/>
      <c r="BH694" s="117"/>
      <c r="BI694" s="117"/>
      <c r="BJ694" s="117"/>
      <c r="BK694" s="117"/>
      <c r="BL694" s="117"/>
      <c r="BM694" s="117"/>
      <c r="BN694" s="117"/>
      <c r="BO694" s="117"/>
      <c r="BP694" s="117"/>
      <c r="BQ694" s="117"/>
      <c r="BR694" s="117"/>
      <c r="BS694" s="117"/>
      <c r="BT694" s="117"/>
      <c r="BU694" s="117"/>
      <c r="BV694" s="117"/>
      <c r="BW694" s="117"/>
      <c r="BX694" s="117"/>
      <c r="BY694" s="117"/>
      <c r="BZ694" s="117"/>
      <c r="CA694" s="117"/>
      <c r="CB694" s="117"/>
      <c r="CC694" s="117"/>
      <c r="CD694" s="117"/>
      <c r="CE694" s="117"/>
      <c r="CF694" s="117"/>
      <c r="CG694" s="117"/>
      <c r="CH694" s="117"/>
      <c r="CI694" s="117"/>
      <c r="CJ694" s="117"/>
      <c r="CK694" s="117"/>
      <c r="CL694" s="117"/>
      <c r="CM694" s="117"/>
      <c r="CN694" s="117"/>
      <c r="CO694" s="117"/>
      <c r="CP694" s="117"/>
      <c r="CQ694" s="117"/>
      <c r="CR694" s="117"/>
      <c r="CS694" s="117"/>
      <c r="CT694" s="117"/>
      <c r="CU694" s="117"/>
      <c r="CV694" s="117"/>
      <c r="CW694" s="117"/>
    </row>
    <row r="695" spans="1:101" s="279" customFormat="1" x14ac:dyDescent="0.2">
      <c r="A695" s="249">
        <v>634</v>
      </c>
      <c r="B695" s="249" t="s">
        <v>1935</v>
      </c>
      <c r="C695" s="232" t="s">
        <v>1936</v>
      </c>
      <c r="D695" s="232" t="s">
        <v>1738</v>
      </c>
      <c r="E695" s="283" t="s">
        <v>1937</v>
      </c>
      <c r="F695" s="283"/>
      <c r="G695" s="284">
        <f>H694+1</f>
        <v>10</v>
      </c>
      <c r="H695" s="284">
        <f>H694+I695</f>
        <v>24</v>
      </c>
      <c r="I695" s="284">
        <v>15</v>
      </c>
      <c r="J695" s="284" t="s">
        <v>18</v>
      </c>
      <c r="K695" s="283"/>
      <c r="L695" s="284" t="s">
        <v>1547</v>
      </c>
      <c r="M695" s="186"/>
      <c r="N695" s="285"/>
      <c r="O695" s="117"/>
      <c r="P695" s="117"/>
      <c r="Q695" s="117"/>
      <c r="R695" s="117"/>
      <c r="S695" s="117"/>
      <c r="T695" s="117"/>
      <c r="U695" s="117"/>
      <c r="V695" s="117"/>
      <c r="W695" s="117"/>
      <c r="X695" s="117"/>
      <c r="Y695" s="117"/>
      <c r="Z695" s="117"/>
      <c r="AA695" s="117"/>
      <c r="AB695" s="117"/>
      <c r="AC695" s="117"/>
      <c r="AD695" s="117"/>
      <c r="AE695" s="117"/>
      <c r="AF695" s="117"/>
      <c r="AG695" s="117"/>
      <c r="AH695" s="117"/>
      <c r="AI695" s="117"/>
      <c r="AJ695" s="117"/>
      <c r="AK695" s="117"/>
      <c r="AL695" s="117"/>
      <c r="AM695" s="117"/>
      <c r="AN695" s="117"/>
      <c r="AO695" s="117"/>
      <c r="AP695" s="117"/>
      <c r="AQ695" s="117"/>
      <c r="AR695" s="117"/>
      <c r="AS695" s="117"/>
      <c r="AT695" s="117"/>
      <c r="AU695" s="117"/>
      <c r="AV695" s="117"/>
      <c r="AW695" s="117"/>
      <c r="AX695" s="117"/>
      <c r="AY695" s="117"/>
      <c r="AZ695" s="117"/>
      <c r="BA695" s="117"/>
      <c r="BB695" s="117"/>
      <c r="BC695" s="117"/>
      <c r="BD695" s="117"/>
      <c r="BE695" s="117"/>
      <c r="BF695" s="117"/>
      <c r="BG695" s="117"/>
      <c r="BH695" s="117"/>
      <c r="BI695" s="117"/>
      <c r="BJ695" s="117"/>
      <c r="BK695" s="117"/>
      <c r="BL695" s="117"/>
      <c r="BM695" s="117"/>
      <c r="BN695" s="117"/>
      <c r="BO695" s="117"/>
      <c r="BP695" s="117"/>
      <c r="BQ695" s="117"/>
      <c r="BR695" s="117"/>
      <c r="BS695" s="117"/>
      <c r="BT695" s="117"/>
      <c r="BU695" s="117"/>
      <c r="BV695" s="117"/>
      <c r="BW695" s="117"/>
      <c r="BX695" s="117"/>
      <c r="BY695" s="117"/>
      <c r="BZ695" s="117"/>
      <c r="CA695" s="117"/>
      <c r="CB695" s="117"/>
      <c r="CC695" s="117"/>
      <c r="CD695" s="117"/>
      <c r="CE695" s="117"/>
      <c r="CF695" s="117"/>
      <c r="CG695" s="117"/>
      <c r="CH695" s="117"/>
      <c r="CI695" s="117"/>
      <c r="CJ695" s="117"/>
      <c r="CK695" s="117"/>
      <c r="CL695" s="117"/>
      <c r="CM695" s="117"/>
      <c r="CN695" s="117"/>
      <c r="CO695" s="117"/>
      <c r="CP695" s="117"/>
      <c r="CQ695" s="117"/>
      <c r="CR695" s="117"/>
      <c r="CS695" s="117"/>
      <c r="CT695" s="117"/>
      <c r="CU695" s="117"/>
      <c r="CV695" s="117"/>
      <c r="CW695" s="117"/>
    </row>
    <row r="696" spans="1:101" s="279" customFormat="1" x14ac:dyDescent="0.2">
      <c r="A696" s="249">
        <v>635</v>
      </c>
      <c r="B696" s="249" t="s">
        <v>1938</v>
      </c>
      <c r="C696" s="232" t="s">
        <v>1939</v>
      </c>
      <c r="D696" s="232" t="s">
        <v>1700</v>
      </c>
      <c r="E696" s="283" t="s">
        <v>1701</v>
      </c>
      <c r="F696" s="283"/>
      <c r="G696" s="284">
        <f t="shared" ref="G696:G719" si="178">H695+1</f>
        <v>25</v>
      </c>
      <c r="H696" s="284">
        <f t="shared" ref="H696:H705" si="179">H695+I696</f>
        <v>39</v>
      </c>
      <c r="I696" s="284">
        <v>15</v>
      </c>
      <c r="J696" s="284" t="s">
        <v>18</v>
      </c>
      <c r="K696" s="283"/>
      <c r="L696" s="284" t="s">
        <v>1547</v>
      </c>
      <c r="M696" s="186"/>
      <c r="N696" s="285"/>
      <c r="O696" s="117"/>
      <c r="P696" s="117"/>
      <c r="Q696" s="117"/>
      <c r="R696" s="117"/>
      <c r="S696" s="117"/>
      <c r="T696" s="117"/>
      <c r="U696" s="117"/>
      <c r="V696" s="117"/>
      <c r="W696" s="117"/>
      <c r="X696" s="117"/>
      <c r="Y696" s="117"/>
      <c r="Z696" s="117"/>
      <c r="AA696" s="117"/>
      <c r="AB696" s="117"/>
      <c r="AC696" s="117"/>
      <c r="AD696" s="117"/>
      <c r="AE696" s="117"/>
      <c r="AF696" s="117"/>
      <c r="AG696" s="117"/>
      <c r="AH696" s="117"/>
      <c r="AI696" s="117"/>
      <c r="AJ696" s="117"/>
      <c r="AK696" s="117"/>
      <c r="AL696" s="117"/>
      <c r="AM696" s="117"/>
      <c r="AN696" s="117"/>
      <c r="AO696" s="117"/>
      <c r="AP696" s="117"/>
      <c r="AQ696" s="117"/>
      <c r="AR696" s="117"/>
      <c r="AS696" s="117"/>
      <c r="AT696" s="117"/>
      <c r="AU696" s="117"/>
      <c r="AV696" s="117"/>
      <c r="AW696" s="117"/>
      <c r="AX696" s="117"/>
      <c r="AY696" s="117"/>
      <c r="AZ696" s="117"/>
      <c r="BA696" s="117"/>
      <c r="BB696" s="117"/>
      <c r="BC696" s="117"/>
      <c r="BD696" s="117"/>
      <c r="BE696" s="117"/>
      <c r="BF696" s="117"/>
      <c r="BG696" s="117"/>
      <c r="BH696" s="117"/>
      <c r="BI696" s="117"/>
      <c r="BJ696" s="117"/>
      <c r="BK696" s="117"/>
      <c r="BL696" s="117"/>
      <c r="BM696" s="117"/>
      <c r="BN696" s="117"/>
      <c r="BO696" s="117"/>
      <c r="BP696" s="117"/>
      <c r="BQ696" s="117"/>
      <c r="BR696" s="117"/>
      <c r="BS696" s="117"/>
      <c r="BT696" s="117"/>
      <c r="BU696" s="117"/>
      <c r="BV696" s="117"/>
      <c r="BW696" s="117"/>
      <c r="BX696" s="117"/>
      <c r="BY696" s="117"/>
      <c r="BZ696" s="117"/>
      <c r="CA696" s="117"/>
      <c r="CB696" s="117"/>
      <c r="CC696" s="117"/>
      <c r="CD696" s="117"/>
      <c r="CE696" s="117"/>
      <c r="CF696" s="117"/>
      <c r="CG696" s="117"/>
      <c r="CH696" s="117"/>
      <c r="CI696" s="117"/>
      <c r="CJ696" s="117"/>
      <c r="CK696" s="117"/>
      <c r="CL696" s="117"/>
      <c r="CM696" s="117"/>
      <c r="CN696" s="117"/>
      <c r="CO696" s="117"/>
      <c r="CP696" s="117"/>
      <c r="CQ696" s="117"/>
      <c r="CR696" s="117"/>
      <c r="CS696" s="117"/>
      <c r="CT696" s="117"/>
      <c r="CU696" s="117"/>
      <c r="CV696" s="117"/>
      <c r="CW696" s="117"/>
    </row>
    <row r="697" spans="1:101" s="279" customFormat="1" x14ac:dyDescent="0.2">
      <c r="A697" s="249">
        <f t="shared" ref="A697:A762" si="180">A696+1</f>
        <v>636</v>
      </c>
      <c r="B697" s="249" t="s">
        <v>1940</v>
      </c>
      <c r="C697" s="232" t="s">
        <v>1943</v>
      </c>
      <c r="D697" s="232" t="s">
        <v>1702</v>
      </c>
      <c r="E697" s="283" t="s">
        <v>1703</v>
      </c>
      <c r="F697" s="283"/>
      <c r="G697" s="284">
        <f t="shared" si="178"/>
        <v>40</v>
      </c>
      <c r="H697" s="284">
        <f t="shared" si="179"/>
        <v>54</v>
      </c>
      <c r="I697" s="284">
        <v>15</v>
      </c>
      <c r="J697" s="284" t="s">
        <v>18</v>
      </c>
      <c r="K697" s="283"/>
      <c r="L697" s="284" t="s">
        <v>1547</v>
      </c>
      <c r="M697" s="186"/>
      <c r="N697" s="285"/>
      <c r="O697" s="117"/>
      <c r="P697" s="117"/>
      <c r="Q697" s="117"/>
      <c r="R697" s="117"/>
      <c r="S697" s="117"/>
      <c r="T697" s="117"/>
      <c r="U697" s="117"/>
      <c r="V697" s="117"/>
      <c r="W697" s="117"/>
      <c r="X697" s="117"/>
      <c r="Y697" s="117"/>
      <c r="Z697" s="117"/>
      <c r="AA697" s="117"/>
      <c r="AB697" s="117"/>
      <c r="AC697" s="117"/>
      <c r="AD697" s="117"/>
      <c r="AE697" s="117"/>
      <c r="AF697" s="117"/>
      <c r="AG697" s="117"/>
      <c r="AH697" s="117"/>
      <c r="AI697" s="117"/>
      <c r="AJ697" s="117"/>
      <c r="AK697" s="117"/>
      <c r="AL697" s="117"/>
      <c r="AM697" s="117"/>
      <c r="AN697" s="117"/>
      <c r="AO697" s="117"/>
      <c r="AP697" s="117"/>
      <c r="AQ697" s="117"/>
      <c r="AR697" s="117"/>
      <c r="AS697" s="117"/>
      <c r="AT697" s="117"/>
      <c r="AU697" s="117"/>
      <c r="AV697" s="117"/>
      <c r="AW697" s="117"/>
      <c r="AX697" s="117"/>
      <c r="AY697" s="117"/>
      <c r="AZ697" s="117"/>
      <c r="BA697" s="117"/>
      <c r="BB697" s="117"/>
      <c r="BC697" s="117"/>
      <c r="BD697" s="117"/>
      <c r="BE697" s="117"/>
      <c r="BF697" s="117"/>
      <c r="BG697" s="117"/>
      <c r="BH697" s="117"/>
      <c r="BI697" s="117"/>
      <c r="BJ697" s="117"/>
      <c r="BK697" s="117"/>
      <c r="BL697" s="117"/>
      <c r="BM697" s="117"/>
      <c r="BN697" s="117"/>
      <c r="BO697" s="117"/>
      <c r="BP697" s="117"/>
      <c r="BQ697" s="117"/>
      <c r="BR697" s="117"/>
      <c r="BS697" s="117"/>
      <c r="BT697" s="117"/>
      <c r="BU697" s="117"/>
      <c r="BV697" s="117"/>
      <c r="BW697" s="117"/>
      <c r="BX697" s="117"/>
      <c r="BY697" s="117"/>
      <c r="BZ697" s="117"/>
      <c r="CA697" s="117"/>
      <c r="CB697" s="117"/>
      <c r="CC697" s="117"/>
      <c r="CD697" s="117"/>
      <c r="CE697" s="117"/>
      <c r="CF697" s="117"/>
      <c r="CG697" s="117"/>
      <c r="CH697" s="117"/>
      <c r="CI697" s="117"/>
      <c r="CJ697" s="117"/>
      <c r="CK697" s="117"/>
      <c r="CL697" s="117"/>
      <c r="CM697" s="117"/>
      <c r="CN697" s="117"/>
      <c r="CO697" s="117"/>
      <c r="CP697" s="117"/>
      <c r="CQ697" s="117"/>
      <c r="CR697" s="117"/>
      <c r="CS697" s="117"/>
      <c r="CT697" s="117"/>
      <c r="CU697" s="117"/>
      <c r="CV697" s="117"/>
      <c r="CW697" s="117"/>
    </row>
    <row r="698" spans="1:101" s="279" customFormat="1" x14ac:dyDescent="0.2">
      <c r="A698" s="249">
        <f t="shared" si="180"/>
        <v>637</v>
      </c>
      <c r="B698" s="249" t="s">
        <v>1941</v>
      </c>
      <c r="C698" s="232" t="s">
        <v>1944</v>
      </c>
      <c r="D698" s="232" t="s">
        <v>1704</v>
      </c>
      <c r="E698" s="283" t="s">
        <v>1705</v>
      </c>
      <c r="F698" s="283"/>
      <c r="G698" s="284">
        <f t="shared" si="178"/>
        <v>55</v>
      </c>
      <c r="H698" s="284">
        <f t="shared" si="179"/>
        <v>69</v>
      </c>
      <c r="I698" s="284">
        <v>15</v>
      </c>
      <c r="J698" s="284" t="s">
        <v>18</v>
      </c>
      <c r="K698" s="283"/>
      <c r="L698" s="284" t="s">
        <v>1547</v>
      </c>
      <c r="M698" s="186"/>
      <c r="N698" s="285"/>
      <c r="O698" s="117"/>
      <c r="P698" s="117"/>
      <c r="Q698" s="117"/>
      <c r="R698" s="117"/>
      <c r="S698" s="117"/>
      <c r="T698" s="117"/>
      <c r="U698" s="117"/>
      <c r="V698" s="117"/>
      <c r="W698" s="117"/>
      <c r="X698" s="117"/>
      <c r="Y698" s="117"/>
      <c r="Z698" s="117"/>
      <c r="AA698" s="117"/>
      <c r="AB698" s="117"/>
      <c r="AC698" s="117"/>
      <c r="AD698" s="117"/>
      <c r="AE698" s="117"/>
      <c r="AF698" s="117"/>
      <c r="AG698" s="117"/>
      <c r="AH698" s="117"/>
      <c r="AI698" s="117"/>
      <c r="AJ698" s="117"/>
      <c r="AK698" s="117"/>
      <c r="AL698" s="117"/>
      <c r="AM698" s="117"/>
      <c r="AN698" s="117"/>
      <c r="AO698" s="117"/>
      <c r="AP698" s="117"/>
      <c r="AQ698" s="117"/>
      <c r="AR698" s="117"/>
      <c r="AS698" s="117"/>
      <c r="AT698" s="117"/>
      <c r="AU698" s="117"/>
      <c r="AV698" s="117"/>
      <c r="AW698" s="117"/>
      <c r="AX698" s="117"/>
      <c r="AY698" s="117"/>
      <c r="AZ698" s="117"/>
      <c r="BA698" s="117"/>
      <c r="BB698" s="117"/>
      <c r="BC698" s="117"/>
      <c r="BD698" s="117"/>
      <c r="BE698" s="117"/>
      <c r="BF698" s="117"/>
      <c r="BG698" s="117"/>
      <c r="BH698" s="117"/>
      <c r="BI698" s="117"/>
      <c r="BJ698" s="117"/>
      <c r="BK698" s="117"/>
      <c r="BL698" s="117"/>
      <c r="BM698" s="117"/>
      <c r="BN698" s="117"/>
      <c r="BO698" s="117"/>
      <c r="BP698" s="117"/>
      <c r="BQ698" s="117"/>
      <c r="BR698" s="117"/>
      <c r="BS698" s="117"/>
      <c r="BT698" s="117"/>
      <c r="BU698" s="117"/>
      <c r="BV698" s="117"/>
      <c r="BW698" s="117"/>
      <c r="BX698" s="117"/>
      <c r="BY698" s="117"/>
      <c r="BZ698" s="117"/>
      <c r="CA698" s="117"/>
      <c r="CB698" s="117"/>
      <c r="CC698" s="117"/>
      <c r="CD698" s="117"/>
      <c r="CE698" s="117"/>
      <c r="CF698" s="117"/>
      <c r="CG698" s="117"/>
      <c r="CH698" s="117"/>
      <c r="CI698" s="117"/>
      <c r="CJ698" s="117"/>
      <c r="CK698" s="117"/>
      <c r="CL698" s="117"/>
      <c r="CM698" s="117"/>
      <c r="CN698" s="117"/>
      <c r="CO698" s="117"/>
      <c r="CP698" s="117"/>
      <c r="CQ698" s="117"/>
      <c r="CR698" s="117"/>
      <c r="CS698" s="117"/>
      <c r="CT698" s="117"/>
      <c r="CU698" s="117"/>
      <c r="CV698" s="117"/>
      <c r="CW698" s="117"/>
    </row>
    <row r="699" spans="1:101" s="279" customFormat="1" x14ac:dyDescent="0.2">
      <c r="A699" s="249">
        <f t="shared" si="180"/>
        <v>638</v>
      </c>
      <c r="B699" s="249" t="s">
        <v>1942</v>
      </c>
      <c r="C699" s="232" t="s">
        <v>1945</v>
      </c>
      <c r="D699" s="232" t="s">
        <v>1706</v>
      </c>
      <c r="E699" s="283" t="s">
        <v>1707</v>
      </c>
      <c r="F699" s="283"/>
      <c r="G699" s="284">
        <f t="shared" si="178"/>
        <v>70</v>
      </c>
      <c r="H699" s="284">
        <f t="shared" si="179"/>
        <v>84</v>
      </c>
      <c r="I699" s="284">
        <v>15</v>
      </c>
      <c r="J699" s="284" t="s">
        <v>18</v>
      </c>
      <c r="K699" s="283"/>
      <c r="L699" s="284" t="s">
        <v>1547</v>
      </c>
      <c r="M699" s="186"/>
      <c r="N699" s="285"/>
      <c r="O699" s="117"/>
      <c r="P699" s="117"/>
      <c r="Q699" s="117"/>
      <c r="R699" s="117"/>
      <c r="S699" s="117"/>
      <c r="T699" s="117"/>
      <c r="U699" s="117"/>
      <c r="V699" s="117"/>
      <c r="W699" s="117"/>
      <c r="X699" s="117"/>
      <c r="Y699" s="117"/>
      <c r="Z699" s="117"/>
      <c r="AA699" s="117"/>
      <c r="AB699" s="117"/>
      <c r="AC699" s="117"/>
      <c r="AD699" s="117"/>
      <c r="AE699" s="117"/>
      <c r="AF699" s="117"/>
      <c r="AG699" s="117"/>
      <c r="AH699" s="117"/>
      <c r="AI699" s="117"/>
      <c r="AJ699" s="117"/>
      <c r="AK699" s="117"/>
      <c r="AL699" s="117"/>
      <c r="AM699" s="117"/>
      <c r="AN699" s="117"/>
      <c r="AO699" s="117"/>
      <c r="AP699" s="117"/>
      <c r="AQ699" s="117"/>
      <c r="AR699" s="117"/>
      <c r="AS699" s="117"/>
      <c r="AT699" s="117"/>
      <c r="AU699" s="117"/>
      <c r="AV699" s="117"/>
      <c r="AW699" s="117"/>
      <c r="AX699" s="117"/>
      <c r="AY699" s="117"/>
      <c r="AZ699" s="117"/>
      <c r="BA699" s="117"/>
      <c r="BB699" s="117"/>
      <c r="BC699" s="117"/>
      <c r="BD699" s="117"/>
      <c r="BE699" s="117"/>
      <c r="BF699" s="117"/>
      <c r="BG699" s="117"/>
      <c r="BH699" s="117"/>
      <c r="BI699" s="117"/>
      <c r="BJ699" s="117"/>
      <c r="BK699" s="117"/>
      <c r="BL699" s="117"/>
      <c r="BM699" s="117"/>
      <c r="BN699" s="117"/>
      <c r="BO699" s="117"/>
      <c r="BP699" s="117"/>
      <c r="BQ699" s="117"/>
      <c r="BR699" s="117"/>
      <c r="BS699" s="117"/>
      <c r="BT699" s="117"/>
      <c r="BU699" s="117"/>
      <c r="BV699" s="117"/>
      <c r="BW699" s="117"/>
      <c r="BX699" s="117"/>
      <c r="BY699" s="117"/>
      <c r="BZ699" s="117"/>
      <c r="CA699" s="117"/>
      <c r="CB699" s="117"/>
      <c r="CC699" s="117"/>
      <c r="CD699" s="117"/>
      <c r="CE699" s="117"/>
      <c r="CF699" s="117"/>
      <c r="CG699" s="117"/>
      <c r="CH699" s="117"/>
      <c r="CI699" s="117"/>
      <c r="CJ699" s="117"/>
      <c r="CK699" s="117"/>
      <c r="CL699" s="117"/>
      <c r="CM699" s="117"/>
      <c r="CN699" s="117"/>
      <c r="CO699" s="117"/>
      <c r="CP699" s="117"/>
      <c r="CQ699" s="117"/>
      <c r="CR699" s="117"/>
      <c r="CS699" s="117"/>
      <c r="CT699" s="117"/>
      <c r="CU699" s="117"/>
      <c r="CV699" s="117"/>
      <c r="CW699" s="117"/>
    </row>
    <row r="700" spans="1:101" s="279" customFormat="1" x14ac:dyDescent="0.2">
      <c r="A700" s="249">
        <f t="shared" si="180"/>
        <v>639</v>
      </c>
      <c r="B700" s="249" t="s">
        <v>1946</v>
      </c>
      <c r="C700" s="232" t="s">
        <v>1943</v>
      </c>
      <c r="D700" s="232" t="s">
        <v>1708</v>
      </c>
      <c r="E700" s="283" t="s">
        <v>1709</v>
      </c>
      <c r="F700" s="283"/>
      <c r="G700" s="284">
        <f t="shared" si="178"/>
        <v>85</v>
      </c>
      <c r="H700" s="284">
        <f t="shared" si="179"/>
        <v>99</v>
      </c>
      <c r="I700" s="284">
        <v>15</v>
      </c>
      <c r="J700" s="284" t="s">
        <v>18</v>
      </c>
      <c r="K700" s="283"/>
      <c r="L700" s="284" t="s">
        <v>1547</v>
      </c>
      <c r="M700" s="186"/>
      <c r="N700" s="285"/>
      <c r="O700" s="117"/>
      <c r="P700" s="117"/>
      <c r="Q700" s="117"/>
      <c r="R700" s="117"/>
      <c r="S700" s="117"/>
      <c r="T700" s="117"/>
      <c r="U700" s="117"/>
      <c r="V700" s="117"/>
      <c r="W700" s="117"/>
      <c r="X700" s="117"/>
      <c r="Y700" s="117"/>
      <c r="Z700" s="117"/>
      <c r="AA700" s="117"/>
      <c r="AB700" s="117"/>
      <c r="AC700" s="117"/>
      <c r="AD700" s="117"/>
      <c r="AE700" s="117"/>
      <c r="AF700" s="117"/>
      <c r="AG700" s="117"/>
      <c r="AH700" s="117"/>
      <c r="AI700" s="117"/>
      <c r="AJ700" s="117"/>
      <c r="AK700" s="117"/>
      <c r="AL700" s="117"/>
      <c r="AM700" s="117"/>
      <c r="AN700" s="117"/>
      <c r="AO700" s="117"/>
      <c r="AP700" s="117"/>
      <c r="AQ700" s="117"/>
      <c r="AR700" s="117"/>
      <c r="AS700" s="117"/>
      <c r="AT700" s="117"/>
      <c r="AU700" s="117"/>
      <c r="AV700" s="117"/>
      <c r="AW700" s="117"/>
      <c r="AX700" s="117"/>
      <c r="AY700" s="117"/>
      <c r="AZ700" s="117"/>
      <c r="BA700" s="117"/>
      <c r="BB700" s="117"/>
      <c r="BC700" s="117"/>
      <c r="BD700" s="117"/>
      <c r="BE700" s="117"/>
      <c r="BF700" s="117"/>
      <c r="BG700" s="117"/>
      <c r="BH700" s="117"/>
      <c r="BI700" s="117"/>
      <c r="BJ700" s="117"/>
      <c r="BK700" s="117"/>
      <c r="BL700" s="117"/>
      <c r="BM700" s="117"/>
      <c r="BN700" s="117"/>
      <c r="BO700" s="117"/>
      <c r="BP700" s="117"/>
      <c r="BQ700" s="117"/>
      <c r="BR700" s="117"/>
      <c r="BS700" s="117"/>
      <c r="BT700" s="117"/>
      <c r="BU700" s="117"/>
      <c r="BV700" s="117"/>
      <c r="BW700" s="117"/>
      <c r="BX700" s="117"/>
      <c r="BY700" s="117"/>
      <c r="BZ700" s="117"/>
      <c r="CA700" s="117"/>
      <c r="CB700" s="117"/>
      <c r="CC700" s="117"/>
      <c r="CD700" s="117"/>
      <c r="CE700" s="117"/>
      <c r="CF700" s="117"/>
      <c r="CG700" s="117"/>
      <c r="CH700" s="117"/>
      <c r="CI700" s="117"/>
      <c r="CJ700" s="117"/>
      <c r="CK700" s="117"/>
      <c r="CL700" s="117"/>
      <c r="CM700" s="117"/>
      <c r="CN700" s="117"/>
      <c r="CO700" s="117"/>
      <c r="CP700" s="117"/>
      <c r="CQ700" s="117"/>
      <c r="CR700" s="117"/>
      <c r="CS700" s="117"/>
      <c r="CT700" s="117"/>
      <c r="CU700" s="117"/>
      <c r="CV700" s="117"/>
      <c r="CW700" s="117"/>
    </row>
    <row r="701" spans="1:101" s="279" customFormat="1" x14ac:dyDescent="0.2">
      <c r="A701" s="249">
        <f t="shared" si="180"/>
        <v>640</v>
      </c>
      <c r="B701" s="249" t="s">
        <v>1947</v>
      </c>
      <c r="C701" s="232" t="s">
        <v>1944</v>
      </c>
      <c r="D701" s="232" t="s">
        <v>1710</v>
      </c>
      <c r="E701" s="283" t="s">
        <v>1711</v>
      </c>
      <c r="F701" s="283"/>
      <c r="G701" s="284">
        <f t="shared" si="178"/>
        <v>100</v>
      </c>
      <c r="H701" s="284">
        <f t="shared" si="179"/>
        <v>114</v>
      </c>
      <c r="I701" s="284">
        <v>15</v>
      </c>
      <c r="J701" s="284" t="s">
        <v>18</v>
      </c>
      <c r="K701" s="283"/>
      <c r="L701" s="284" t="s">
        <v>1547</v>
      </c>
      <c r="M701" s="186"/>
      <c r="N701" s="285"/>
      <c r="O701" s="117"/>
      <c r="P701" s="117"/>
      <c r="Q701" s="117"/>
      <c r="R701" s="117"/>
      <c r="S701" s="117"/>
      <c r="T701" s="117"/>
      <c r="U701" s="117"/>
      <c r="V701" s="117"/>
      <c r="W701" s="117"/>
      <c r="X701" s="117"/>
      <c r="Y701" s="117"/>
      <c r="Z701" s="117"/>
      <c r="AA701" s="117"/>
      <c r="AB701" s="117"/>
      <c r="AC701" s="117"/>
      <c r="AD701" s="117"/>
      <c r="AE701" s="117"/>
      <c r="AF701" s="117"/>
      <c r="AG701" s="117"/>
      <c r="AH701" s="117"/>
      <c r="AI701" s="117"/>
      <c r="AJ701" s="117"/>
      <c r="AK701" s="117"/>
      <c r="AL701" s="117"/>
      <c r="AM701" s="117"/>
      <c r="AN701" s="117"/>
      <c r="AO701" s="117"/>
      <c r="AP701" s="117"/>
      <c r="AQ701" s="117"/>
      <c r="AR701" s="117"/>
      <c r="AS701" s="117"/>
      <c r="AT701" s="117"/>
      <c r="AU701" s="117"/>
      <c r="AV701" s="117"/>
      <c r="AW701" s="117"/>
      <c r="AX701" s="117"/>
      <c r="AY701" s="117"/>
      <c r="AZ701" s="117"/>
      <c r="BA701" s="117"/>
      <c r="BB701" s="117"/>
      <c r="BC701" s="117"/>
      <c r="BD701" s="117"/>
      <c r="BE701" s="117"/>
      <c r="BF701" s="117"/>
      <c r="BG701" s="117"/>
      <c r="BH701" s="117"/>
      <c r="BI701" s="117"/>
      <c r="BJ701" s="117"/>
      <c r="BK701" s="117"/>
      <c r="BL701" s="117"/>
      <c r="BM701" s="117"/>
      <c r="BN701" s="117"/>
      <c r="BO701" s="117"/>
      <c r="BP701" s="117"/>
      <c r="BQ701" s="117"/>
      <c r="BR701" s="117"/>
      <c r="BS701" s="117"/>
      <c r="BT701" s="117"/>
      <c r="BU701" s="117"/>
      <c r="BV701" s="117"/>
      <c r="BW701" s="117"/>
      <c r="BX701" s="117"/>
      <c r="BY701" s="117"/>
      <c r="BZ701" s="117"/>
      <c r="CA701" s="117"/>
      <c r="CB701" s="117"/>
      <c r="CC701" s="117"/>
      <c r="CD701" s="117"/>
      <c r="CE701" s="117"/>
      <c r="CF701" s="117"/>
      <c r="CG701" s="117"/>
      <c r="CH701" s="117"/>
      <c r="CI701" s="117"/>
      <c r="CJ701" s="117"/>
      <c r="CK701" s="117"/>
      <c r="CL701" s="117"/>
      <c r="CM701" s="117"/>
      <c r="CN701" s="117"/>
      <c r="CO701" s="117"/>
      <c r="CP701" s="117"/>
      <c r="CQ701" s="117"/>
      <c r="CR701" s="117"/>
      <c r="CS701" s="117"/>
      <c r="CT701" s="117"/>
      <c r="CU701" s="117"/>
      <c r="CV701" s="117"/>
      <c r="CW701" s="117"/>
    </row>
    <row r="702" spans="1:101" s="279" customFormat="1" x14ac:dyDescent="0.2">
      <c r="A702" s="249">
        <f t="shared" si="180"/>
        <v>641</v>
      </c>
      <c r="B702" s="249" t="s">
        <v>1948</v>
      </c>
      <c r="C702" s="232" t="s">
        <v>1949</v>
      </c>
      <c r="D702" s="232" t="s">
        <v>1712</v>
      </c>
      <c r="E702" s="283" t="s">
        <v>1713</v>
      </c>
      <c r="F702" s="283"/>
      <c r="G702" s="284">
        <f t="shared" si="178"/>
        <v>115</v>
      </c>
      <c r="H702" s="284">
        <f t="shared" si="179"/>
        <v>129</v>
      </c>
      <c r="I702" s="284">
        <v>15</v>
      </c>
      <c r="J702" s="284" t="s">
        <v>18</v>
      </c>
      <c r="K702" s="283"/>
      <c r="L702" s="284" t="s">
        <v>1547</v>
      </c>
      <c r="M702" s="186"/>
      <c r="N702" s="285"/>
      <c r="O702" s="117"/>
      <c r="P702" s="117"/>
      <c r="Q702" s="117"/>
      <c r="R702" s="117"/>
      <c r="S702" s="117"/>
      <c r="T702" s="117"/>
      <c r="U702" s="117"/>
      <c r="V702" s="117"/>
      <c r="W702" s="117"/>
      <c r="X702" s="117"/>
      <c r="Y702" s="117"/>
      <c r="Z702" s="117"/>
      <c r="AA702" s="117"/>
      <c r="AB702" s="117"/>
      <c r="AC702" s="117"/>
      <c r="AD702" s="117"/>
      <c r="AE702" s="117"/>
      <c r="AF702" s="117"/>
      <c r="AG702" s="117"/>
      <c r="AH702" s="117"/>
      <c r="AI702" s="117"/>
      <c r="AJ702" s="117"/>
      <c r="AK702" s="117"/>
      <c r="AL702" s="117"/>
      <c r="AM702" s="117"/>
      <c r="AN702" s="117"/>
      <c r="AO702" s="117"/>
      <c r="AP702" s="117"/>
      <c r="AQ702" s="117"/>
      <c r="AR702" s="117"/>
      <c r="AS702" s="117"/>
      <c r="AT702" s="117"/>
      <c r="AU702" s="117"/>
      <c r="AV702" s="117"/>
      <c r="AW702" s="117"/>
      <c r="AX702" s="117"/>
      <c r="AY702" s="117"/>
      <c r="AZ702" s="117"/>
      <c r="BA702" s="117"/>
      <c r="BB702" s="117"/>
      <c r="BC702" s="117"/>
      <c r="BD702" s="117"/>
      <c r="BE702" s="117"/>
      <c r="BF702" s="117"/>
      <c r="BG702" s="117"/>
      <c r="BH702" s="117"/>
      <c r="BI702" s="117"/>
      <c r="BJ702" s="117"/>
      <c r="BK702" s="117"/>
      <c r="BL702" s="117"/>
      <c r="BM702" s="117"/>
      <c r="BN702" s="117"/>
      <c r="BO702" s="117"/>
      <c r="BP702" s="117"/>
      <c r="BQ702" s="117"/>
      <c r="BR702" s="117"/>
      <c r="BS702" s="117"/>
      <c r="BT702" s="117"/>
      <c r="BU702" s="117"/>
      <c r="BV702" s="117"/>
      <c r="BW702" s="117"/>
      <c r="BX702" s="117"/>
      <c r="BY702" s="117"/>
      <c r="BZ702" s="117"/>
      <c r="CA702" s="117"/>
      <c r="CB702" s="117"/>
      <c r="CC702" s="117"/>
      <c r="CD702" s="117"/>
      <c r="CE702" s="117"/>
      <c r="CF702" s="117"/>
      <c r="CG702" s="117"/>
      <c r="CH702" s="117"/>
      <c r="CI702" s="117"/>
      <c r="CJ702" s="117"/>
      <c r="CK702" s="117"/>
      <c r="CL702" s="117"/>
      <c r="CM702" s="117"/>
      <c r="CN702" s="117"/>
      <c r="CO702" s="117"/>
      <c r="CP702" s="117"/>
      <c r="CQ702" s="117"/>
      <c r="CR702" s="117"/>
      <c r="CS702" s="117"/>
      <c r="CT702" s="117"/>
      <c r="CU702" s="117"/>
      <c r="CV702" s="117"/>
      <c r="CW702" s="117"/>
    </row>
    <row r="703" spans="1:101" s="279" customFormat="1" x14ac:dyDescent="0.2">
      <c r="A703" s="249">
        <f t="shared" si="180"/>
        <v>642</v>
      </c>
      <c r="B703" s="249" t="s">
        <v>1950</v>
      </c>
      <c r="C703" s="232" t="s">
        <v>1953</v>
      </c>
      <c r="D703" s="232" t="s">
        <v>1714</v>
      </c>
      <c r="E703" s="283" t="s">
        <v>1715</v>
      </c>
      <c r="F703" s="283"/>
      <c r="G703" s="284">
        <f t="shared" si="178"/>
        <v>130</v>
      </c>
      <c r="H703" s="284">
        <f t="shared" si="179"/>
        <v>144</v>
      </c>
      <c r="I703" s="284">
        <v>15</v>
      </c>
      <c r="J703" s="284" t="s">
        <v>18</v>
      </c>
      <c r="K703" s="283"/>
      <c r="L703" s="284" t="s">
        <v>1547</v>
      </c>
      <c r="M703" s="186"/>
      <c r="N703" s="285"/>
      <c r="O703" s="117"/>
      <c r="P703" s="117"/>
      <c r="Q703" s="117"/>
      <c r="R703" s="117"/>
      <c r="S703" s="117"/>
      <c r="T703" s="117"/>
      <c r="U703" s="117"/>
      <c r="V703" s="117"/>
      <c r="W703" s="117"/>
      <c r="X703" s="117"/>
      <c r="Y703" s="117"/>
      <c r="Z703" s="117"/>
      <c r="AA703" s="117"/>
      <c r="AB703" s="117"/>
      <c r="AC703" s="117"/>
      <c r="AD703" s="117"/>
      <c r="AE703" s="117"/>
      <c r="AF703" s="117"/>
      <c r="AG703" s="117"/>
      <c r="AH703" s="117"/>
      <c r="AI703" s="117"/>
      <c r="AJ703" s="117"/>
      <c r="AK703" s="117"/>
      <c r="AL703" s="117"/>
      <c r="AM703" s="117"/>
      <c r="AN703" s="117"/>
      <c r="AO703" s="117"/>
      <c r="AP703" s="117"/>
      <c r="AQ703" s="117"/>
      <c r="AR703" s="117"/>
      <c r="AS703" s="117"/>
      <c r="AT703" s="117"/>
      <c r="AU703" s="117"/>
      <c r="AV703" s="117"/>
      <c r="AW703" s="117"/>
      <c r="AX703" s="117"/>
      <c r="AY703" s="117"/>
      <c r="AZ703" s="117"/>
      <c r="BA703" s="117"/>
      <c r="BB703" s="117"/>
      <c r="BC703" s="117"/>
      <c r="BD703" s="117"/>
      <c r="BE703" s="117"/>
      <c r="BF703" s="117"/>
      <c r="BG703" s="117"/>
      <c r="BH703" s="117"/>
      <c r="BI703" s="117"/>
      <c r="BJ703" s="117"/>
      <c r="BK703" s="117"/>
      <c r="BL703" s="117"/>
      <c r="BM703" s="117"/>
      <c r="BN703" s="117"/>
      <c r="BO703" s="117"/>
      <c r="BP703" s="117"/>
      <c r="BQ703" s="117"/>
      <c r="BR703" s="117"/>
      <c r="BS703" s="117"/>
      <c r="BT703" s="117"/>
      <c r="BU703" s="117"/>
      <c r="BV703" s="117"/>
      <c r="BW703" s="117"/>
      <c r="BX703" s="117"/>
      <c r="BY703" s="117"/>
      <c r="BZ703" s="117"/>
      <c r="CA703" s="117"/>
      <c r="CB703" s="117"/>
      <c r="CC703" s="117"/>
      <c r="CD703" s="117"/>
      <c r="CE703" s="117"/>
      <c r="CF703" s="117"/>
      <c r="CG703" s="117"/>
      <c r="CH703" s="117"/>
      <c r="CI703" s="117"/>
      <c r="CJ703" s="117"/>
      <c r="CK703" s="117"/>
      <c r="CL703" s="117"/>
      <c r="CM703" s="117"/>
      <c r="CN703" s="117"/>
      <c r="CO703" s="117"/>
      <c r="CP703" s="117"/>
      <c r="CQ703" s="117"/>
      <c r="CR703" s="117"/>
      <c r="CS703" s="117"/>
      <c r="CT703" s="117"/>
      <c r="CU703" s="117"/>
      <c r="CV703" s="117"/>
      <c r="CW703" s="117"/>
    </row>
    <row r="704" spans="1:101" s="279" customFormat="1" x14ac:dyDescent="0.2">
      <c r="A704" s="249">
        <f t="shared" si="180"/>
        <v>643</v>
      </c>
      <c r="B704" s="249" t="s">
        <v>1951</v>
      </c>
      <c r="C704" s="232" t="s">
        <v>1954</v>
      </c>
      <c r="D704" s="232" t="s">
        <v>1716</v>
      </c>
      <c r="E704" s="283" t="s">
        <v>1717</v>
      </c>
      <c r="F704" s="283"/>
      <c r="G704" s="284">
        <f t="shared" si="178"/>
        <v>145</v>
      </c>
      <c r="H704" s="284">
        <f t="shared" si="179"/>
        <v>159</v>
      </c>
      <c r="I704" s="284">
        <v>15</v>
      </c>
      <c r="J704" s="284" t="s">
        <v>18</v>
      </c>
      <c r="K704" s="283"/>
      <c r="L704" s="284" t="s">
        <v>1547</v>
      </c>
      <c r="M704" s="186"/>
      <c r="N704" s="285"/>
      <c r="O704" s="117"/>
      <c r="P704" s="117"/>
      <c r="Q704" s="117"/>
      <c r="R704" s="117"/>
      <c r="S704" s="117"/>
      <c r="T704" s="117"/>
      <c r="U704" s="117"/>
      <c r="V704" s="117"/>
      <c r="W704" s="117"/>
      <c r="X704" s="117"/>
      <c r="Y704" s="117"/>
      <c r="Z704" s="117"/>
      <c r="AA704" s="117"/>
      <c r="AB704" s="117"/>
      <c r="AC704" s="117"/>
      <c r="AD704" s="117"/>
      <c r="AE704" s="117"/>
      <c r="AF704" s="117"/>
      <c r="AG704" s="117"/>
      <c r="AH704" s="117"/>
      <c r="AI704" s="117"/>
      <c r="AJ704" s="117"/>
      <c r="AK704" s="117"/>
      <c r="AL704" s="117"/>
      <c r="AM704" s="117"/>
      <c r="AN704" s="117"/>
      <c r="AO704" s="117"/>
      <c r="AP704" s="117"/>
      <c r="AQ704" s="117"/>
      <c r="AR704" s="117"/>
      <c r="AS704" s="117"/>
      <c r="AT704" s="117"/>
      <c r="AU704" s="117"/>
      <c r="AV704" s="117"/>
      <c r="AW704" s="117"/>
      <c r="AX704" s="117"/>
      <c r="AY704" s="117"/>
      <c r="AZ704" s="117"/>
      <c r="BA704" s="117"/>
      <c r="BB704" s="117"/>
      <c r="BC704" s="117"/>
      <c r="BD704" s="117"/>
      <c r="BE704" s="117"/>
      <c r="BF704" s="117"/>
      <c r="BG704" s="117"/>
      <c r="BH704" s="117"/>
      <c r="BI704" s="117"/>
      <c r="BJ704" s="117"/>
      <c r="BK704" s="117"/>
      <c r="BL704" s="117"/>
      <c r="BM704" s="117"/>
      <c r="BN704" s="117"/>
      <c r="BO704" s="117"/>
      <c r="BP704" s="117"/>
      <c r="BQ704" s="117"/>
      <c r="BR704" s="117"/>
      <c r="BS704" s="117"/>
      <c r="BT704" s="117"/>
      <c r="BU704" s="117"/>
      <c r="BV704" s="117"/>
      <c r="BW704" s="117"/>
      <c r="BX704" s="117"/>
      <c r="BY704" s="117"/>
      <c r="BZ704" s="117"/>
      <c r="CA704" s="117"/>
      <c r="CB704" s="117"/>
      <c r="CC704" s="117"/>
      <c r="CD704" s="117"/>
      <c r="CE704" s="117"/>
      <c r="CF704" s="117"/>
      <c r="CG704" s="117"/>
      <c r="CH704" s="117"/>
      <c r="CI704" s="117"/>
      <c r="CJ704" s="117"/>
      <c r="CK704" s="117"/>
      <c r="CL704" s="117"/>
      <c r="CM704" s="117"/>
      <c r="CN704" s="117"/>
      <c r="CO704" s="117"/>
      <c r="CP704" s="117"/>
      <c r="CQ704" s="117"/>
      <c r="CR704" s="117"/>
      <c r="CS704" s="117"/>
      <c r="CT704" s="117"/>
      <c r="CU704" s="117"/>
      <c r="CV704" s="117"/>
      <c r="CW704" s="117"/>
    </row>
    <row r="705" spans="1:101" s="279" customFormat="1" x14ac:dyDescent="0.2">
      <c r="A705" s="249">
        <f t="shared" si="180"/>
        <v>644</v>
      </c>
      <c r="B705" s="249" t="s">
        <v>1952</v>
      </c>
      <c r="C705" s="232" t="s">
        <v>1955</v>
      </c>
      <c r="D705" s="232" t="s">
        <v>1718</v>
      </c>
      <c r="E705" s="283" t="s">
        <v>1719</v>
      </c>
      <c r="F705" s="283"/>
      <c r="G705" s="284">
        <f t="shared" si="178"/>
        <v>160</v>
      </c>
      <c r="H705" s="284">
        <f t="shared" si="179"/>
        <v>174</v>
      </c>
      <c r="I705" s="284">
        <v>15</v>
      </c>
      <c r="J705" s="284" t="s">
        <v>18</v>
      </c>
      <c r="K705" s="283"/>
      <c r="L705" s="284" t="s">
        <v>1547</v>
      </c>
      <c r="M705" s="186"/>
      <c r="N705" s="285"/>
      <c r="O705" s="117"/>
      <c r="P705" s="117"/>
      <c r="Q705" s="117"/>
      <c r="R705" s="117"/>
      <c r="S705" s="117"/>
      <c r="T705" s="117"/>
      <c r="U705" s="117"/>
      <c r="V705" s="117"/>
      <c r="W705" s="117"/>
      <c r="X705" s="117"/>
      <c r="Y705" s="117"/>
      <c r="Z705" s="117"/>
      <c r="AA705" s="117"/>
      <c r="AB705" s="117"/>
      <c r="AC705" s="117"/>
      <c r="AD705" s="117"/>
      <c r="AE705" s="117"/>
      <c r="AF705" s="117"/>
      <c r="AG705" s="117"/>
      <c r="AH705" s="117"/>
      <c r="AI705" s="117"/>
      <c r="AJ705" s="117"/>
      <c r="AK705" s="117"/>
      <c r="AL705" s="117"/>
      <c r="AM705" s="117"/>
      <c r="AN705" s="117"/>
      <c r="AO705" s="117"/>
      <c r="AP705" s="117"/>
      <c r="AQ705" s="117"/>
      <c r="AR705" s="117"/>
      <c r="AS705" s="117"/>
      <c r="AT705" s="117"/>
      <c r="AU705" s="117"/>
      <c r="AV705" s="117"/>
      <c r="AW705" s="117"/>
      <c r="AX705" s="117"/>
      <c r="AY705" s="117"/>
      <c r="AZ705" s="117"/>
      <c r="BA705" s="117"/>
      <c r="BB705" s="117"/>
      <c r="BC705" s="117"/>
      <c r="BD705" s="117"/>
      <c r="BE705" s="117"/>
      <c r="BF705" s="117"/>
      <c r="BG705" s="117"/>
      <c r="BH705" s="117"/>
      <c r="BI705" s="117"/>
      <c r="BJ705" s="117"/>
      <c r="BK705" s="117"/>
      <c r="BL705" s="117"/>
      <c r="BM705" s="117"/>
      <c r="BN705" s="117"/>
      <c r="BO705" s="117"/>
      <c r="BP705" s="117"/>
      <c r="BQ705" s="117"/>
      <c r="BR705" s="117"/>
      <c r="BS705" s="117"/>
      <c r="BT705" s="117"/>
      <c r="BU705" s="117"/>
      <c r="BV705" s="117"/>
      <c r="BW705" s="117"/>
      <c r="BX705" s="117"/>
      <c r="BY705" s="117"/>
      <c r="BZ705" s="117"/>
      <c r="CA705" s="117"/>
      <c r="CB705" s="117"/>
      <c r="CC705" s="117"/>
      <c r="CD705" s="117"/>
      <c r="CE705" s="117"/>
      <c r="CF705" s="117"/>
      <c r="CG705" s="117"/>
      <c r="CH705" s="117"/>
      <c r="CI705" s="117"/>
      <c r="CJ705" s="117"/>
      <c r="CK705" s="117"/>
      <c r="CL705" s="117"/>
      <c r="CM705" s="117"/>
      <c r="CN705" s="117"/>
      <c r="CO705" s="117"/>
      <c r="CP705" s="117"/>
      <c r="CQ705" s="117"/>
      <c r="CR705" s="117"/>
      <c r="CS705" s="117"/>
      <c r="CT705" s="117"/>
      <c r="CU705" s="117"/>
      <c r="CV705" s="117"/>
      <c r="CW705" s="117"/>
    </row>
    <row r="706" spans="1:101" s="279" customFormat="1" x14ac:dyDescent="0.2">
      <c r="A706" s="249">
        <v>645</v>
      </c>
      <c r="B706" s="249" t="s">
        <v>1956</v>
      </c>
      <c r="C706" s="232" t="s">
        <v>1943</v>
      </c>
      <c r="D706" s="232" t="s">
        <v>1720</v>
      </c>
      <c r="E706" s="283" t="s">
        <v>1721</v>
      </c>
      <c r="F706" s="283"/>
      <c r="G706" s="284">
        <f t="shared" si="178"/>
        <v>175</v>
      </c>
      <c r="H706" s="284">
        <f t="shared" ref="H706:H719" si="181">H705+I706</f>
        <v>189</v>
      </c>
      <c r="I706" s="284">
        <v>15</v>
      </c>
      <c r="J706" s="284" t="s">
        <v>18</v>
      </c>
      <c r="K706" s="283"/>
      <c r="L706" s="284" t="s">
        <v>1547</v>
      </c>
      <c r="M706" s="186"/>
      <c r="N706" s="285"/>
      <c r="O706" s="117"/>
      <c r="P706" s="117"/>
      <c r="Q706" s="117"/>
      <c r="R706" s="117"/>
      <c r="S706" s="117"/>
      <c r="T706" s="117"/>
      <c r="U706" s="117"/>
      <c r="V706" s="117"/>
      <c r="W706" s="117"/>
      <c r="X706" s="117"/>
      <c r="Y706" s="117"/>
      <c r="Z706" s="117"/>
      <c r="AA706" s="117"/>
      <c r="AB706" s="117"/>
      <c r="AC706" s="117"/>
      <c r="AD706" s="117"/>
      <c r="AE706" s="117"/>
      <c r="AF706" s="117"/>
      <c r="AG706" s="117"/>
      <c r="AH706" s="117"/>
      <c r="AI706" s="117"/>
      <c r="AJ706" s="117"/>
      <c r="AK706" s="117"/>
      <c r="AL706" s="117"/>
      <c r="AM706" s="117"/>
      <c r="AN706" s="117"/>
      <c r="AO706" s="117"/>
      <c r="AP706" s="117"/>
      <c r="AQ706" s="117"/>
      <c r="AR706" s="117"/>
      <c r="AS706" s="117"/>
      <c r="AT706" s="117"/>
      <c r="AU706" s="117"/>
      <c r="AV706" s="117"/>
      <c r="AW706" s="117"/>
      <c r="AX706" s="117"/>
      <c r="AY706" s="117"/>
      <c r="AZ706" s="117"/>
      <c r="BA706" s="117"/>
      <c r="BB706" s="117"/>
      <c r="BC706" s="117"/>
      <c r="BD706" s="117"/>
      <c r="BE706" s="117"/>
      <c r="BF706" s="117"/>
      <c r="BG706" s="117"/>
      <c r="BH706" s="117"/>
      <c r="BI706" s="117"/>
      <c r="BJ706" s="117"/>
      <c r="BK706" s="117"/>
      <c r="BL706" s="117"/>
      <c r="BM706" s="117"/>
      <c r="BN706" s="117"/>
      <c r="BO706" s="117"/>
      <c r="BP706" s="117"/>
      <c r="BQ706" s="117"/>
      <c r="BR706" s="117"/>
      <c r="BS706" s="117"/>
      <c r="BT706" s="117"/>
      <c r="BU706" s="117"/>
      <c r="BV706" s="117"/>
      <c r="BW706" s="117"/>
      <c r="BX706" s="117"/>
      <c r="BY706" s="117"/>
      <c r="BZ706" s="117"/>
      <c r="CA706" s="117"/>
      <c r="CB706" s="117"/>
      <c r="CC706" s="117"/>
      <c r="CD706" s="117"/>
      <c r="CE706" s="117"/>
      <c r="CF706" s="117"/>
      <c r="CG706" s="117"/>
      <c r="CH706" s="117"/>
      <c r="CI706" s="117"/>
      <c r="CJ706" s="117"/>
      <c r="CK706" s="117"/>
      <c r="CL706" s="117"/>
      <c r="CM706" s="117"/>
      <c r="CN706" s="117"/>
      <c r="CO706" s="117"/>
      <c r="CP706" s="117"/>
      <c r="CQ706" s="117"/>
      <c r="CR706" s="117"/>
      <c r="CS706" s="117"/>
      <c r="CT706" s="117"/>
      <c r="CU706" s="117"/>
      <c r="CV706" s="117"/>
      <c r="CW706" s="117"/>
    </row>
    <row r="707" spans="1:101" s="279" customFormat="1" x14ac:dyDescent="0.2">
      <c r="A707" s="249">
        <f t="shared" si="180"/>
        <v>646</v>
      </c>
      <c r="B707" s="249" t="s">
        <v>1957</v>
      </c>
      <c r="C707" s="232" t="s">
        <v>1944</v>
      </c>
      <c r="D707" s="232" t="s">
        <v>1722</v>
      </c>
      <c r="E707" s="283" t="s">
        <v>1723</v>
      </c>
      <c r="F707" s="283"/>
      <c r="G707" s="284">
        <f t="shared" si="178"/>
        <v>190</v>
      </c>
      <c r="H707" s="284">
        <f t="shared" si="181"/>
        <v>204</v>
      </c>
      <c r="I707" s="284">
        <v>15</v>
      </c>
      <c r="J707" s="284" t="s">
        <v>18</v>
      </c>
      <c r="K707" s="283"/>
      <c r="L707" s="284" t="s">
        <v>1547</v>
      </c>
      <c r="M707" s="186"/>
      <c r="N707" s="285"/>
      <c r="O707" s="117"/>
      <c r="P707" s="117"/>
      <c r="Q707" s="117"/>
      <c r="R707" s="117"/>
      <c r="S707" s="117"/>
      <c r="T707" s="117"/>
      <c r="U707" s="117"/>
      <c r="V707" s="117"/>
      <c r="W707" s="117"/>
      <c r="X707" s="117"/>
      <c r="Y707" s="117"/>
      <c r="Z707" s="117"/>
      <c r="AA707" s="117"/>
      <c r="AB707" s="117"/>
      <c r="AC707" s="117"/>
      <c r="AD707" s="117"/>
      <c r="AE707" s="117"/>
      <c r="AF707" s="117"/>
      <c r="AG707" s="117"/>
      <c r="AH707" s="117"/>
      <c r="AI707" s="117"/>
      <c r="AJ707" s="117"/>
      <c r="AK707" s="117"/>
      <c r="AL707" s="117"/>
      <c r="AM707" s="117"/>
      <c r="AN707" s="117"/>
      <c r="AO707" s="117"/>
      <c r="AP707" s="117"/>
      <c r="AQ707" s="117"/>
      <c r="AR707" s="117"/>
      <c r="AS707" s="117"/>
      <c r="AT707" s="117"/>
      <c r="AU707" s="117"/>
      <c r="AV707" s="117"/>
      <c r="AW707" s="117"/>
      <c r="AX707" s="117"/>
      <c r="AY707" s="117"/>
      <c r="AZ707" s="117"/>
      <c r="BA707" s="117"/>
      <c r="BB707" s="117"/>
      <c r="BC707" s="117"/>
      <c r="BD707" s="117"/>
      <c r="BE707" s="117"/>
      <c r="BF707" s="117"/>
      <c r="BG707" s="117"/>
      <c r="BH707" s="117"/>
      <c r="BI707" s="117"/>
      <c r="BJ707" s="117"/>
      <c r="BK707" s="117"/>
      <c r="BL707" s="117"/>
      <c r="BM707" s="117"/>
      <c r="BN707" s="117"/>
      <c r="BO707" s="117"/>
      <c r="BP707" s="117"/>
      <c r="BQ707" s="117"/>
      <c r="BR707" s="117"/>
      <c r="BS707" s="117"/>
      <c r="BT707" s="117"/>
      <c r="BU707" s="117"/>
      <c r="BV707" s="117"/>
      <c r="BW707" s="117"/>
      <c r="BX707" s="117"/>
      <c r="BY707" s="117"/>
      <c r="BZ707" s="117"/>
      <c r="CA707" s="117"/>
      <c r="CB707" s="117"/>
      <c r="CC707" s="117"/>
      <c r="CD707" s="117"/>
      <c r="CE707" s="117"/>
      <c r="CF707" s="117"/>
      <c r="CG707" s="117"/>
      <c r="CH707" s="117"/>
      <c r="CI707" s="117"/>
      <c r="CJ707" s="117"/>
      <c r="CK707" s="117"/>
      <c r="CL707" s="117"/>
      <c r="CM707" s="117"/>
      <c r="CN707" s="117"/>
      <c r="CO707" s="117"/>
      <c r="CP707" s="117"/>
      <c r="CQ707" s="117"/>
      <c r="CR707" s="117"/>
      <c r="CS707" s="117"/>
      <c r="CT707" s="117"/>
      <c r="CU707" s="117"/>
      <c r="CV707" s="117"/>
      <c r="CW707" s="117"/>
    </row>
    <row r="708" spans="1:101" s="279" customFormat="1" x14ac:dyDescent="0.2">
      <c r="A708" s="249">
        <f t="shared" si="180"/>
        <v>647</v>
      </c>
      <c r="B708" s="249" t="s">
        <v>1958</v>
      </c>
      <c r="C708" s="232" t="s">
        <v>1959</v>
      </c>
      <c r="D708" s="232" t="s">
        <v>1724</v>
      </c>
      <c r="E708" s="283" t="s">
        <v>1725</v>
      </c>
      <c r="F708" s="283"/>
      <c r="G708" s="284">
        <f t="shared" si="178"/>
        <v>205</v>
      </c>
      <c r="H708" s="284">
        <f t="shared" si="181"/>
        <v>219</v>
      </c>
      <c r="I708" s="284">
        <v>15</v>
      </c>
      <c r="J708" s="284" t="s">
        <v>18</v>
      </c>
      <c r="K708" s="283"/>
      <c r="L708" s="284" t="s">
        <v>1547</v>
      </c>
      <c r="M708" s="186"/>
      <c r="N708" s="285"/>
      <c r="O708" s="117"/>
      <c r="P708" s="117"/>
      <c r="Q708" s="117"/>
      <c r="R708" s="117"/>
      <c r="S708" s="117"/>
      <c r="T708" s="117"/>
      <c r="U708" s="117"/>
      <c r="V708" s="117"/>
      <c r="W708" s="117"/>
      <c r="X708" s="117"/>
      <c r="Y708" s="117"/>
      <c r="Z708" s="117"/>
      <c r="AA708" s="117"/>
      <c r="AB708" s="117"/>
      <c r="AC708" s="117"/>
      <c r="AD708" s="117"/>
      <c r="AE708" s="117"/>
      <c r="AF708" s="117"/>
      <c r="AG708" s="117"/>
      <c r="AH708" s="117"/>
      <c r="AI708" s="117"/>
      <c r="AJ708" s="117"/>
      <c r="AK708" s="117"/>
      <c r="AL708" s="117"/>
      <c r="AM708" s="117"/>
      <c r="AN708" s="117"/>
      <c r="AO708" s="117"/>
      <c r="AP708" s="117"/>
      <c r="AQ708" s="117"/>
      <c r="AR708" s="117"/>
      <c r="AS708" s="117"/>
      <c r="AT708" s="117"/>
      <c r="AU708" s="117"/>
      <c r="AV708" s="117"/>
      <c r="AW708" s="117"/>
      <c r="AX708" s="117"/>
      <c r="AY708" s="117"/>
      <c r="AZ708" s="117"/>
      <c r="BA708" s="117"/>
      <c r="BB708" s="117"/>
      <c r="BC708" s="117"/>
      <c r="BD708" s="117"/>
      <c r="BE708" s="117"/>
      <c r="BF708" s="117"/>
      <c r="BG708" s="117"/>
      <c r="BH708" s="117"/>
      <c r="BI708" s="117"/>
      <c r="BJ708" s="117"/>
      <c r="BK708" s="117"/>
      <c r="BL708" s="117"/>
      <c r="BM708" s="117"/>
      <c r="BN708" s="117"/>
      <c r="BO708" s="117"/>
      <c r="BP708" s="117"/>
      <c r="BQ708" s="117"/>
      <c r="BR708" s="117"/>
      <c r="BS708" s="117"/>
      <c r="BT708" s="117"/>
      <c r="BU708" s="117"/>
      <c r="BV708" s="117"/>
      <c r="BW708" s="117"/>
      <c r="BX708" s="117"/>
      <c r="BY708" s="117"/>
      <c r="BZ708" s="117"/>
      <c r="CA708" s="117"/>
      <c r="CB708" s="117"/>
      <c r="CC708" s="117"/>
      <c r="CD708" s="117"/>
      <c r="CE708" s="117"/>
      <c r="CF708" s="117"/>
      <c r="CG708" s="117"/>
      <c r="CH708" s="117"/>
      <c r="CI708" s="117"/>
      <c r="CJ708" s="117"/>
      <c r="CK708" s="117"/>
      <c r="CL708" s="117"/>
      <c r="CM708" s="117"/>
      <c r="CN708" s="117"/>
      <c r="CO708" s="117"/>
      <c r="CP708" s="117"/>
      <c r="CQ708" s="117"/>
      <c r="CR708" s="117"/>
      <c r="CS708" s="117"/>
      <c r="CT708" s="117"/>
      <c r="CU708" s="117"/>
      <c r="CV708" s="117"/>
      <c r="CW708" s="117"/>
    </row>
    <row r="709" spans="1:101" s="279" customFormat="1" x14ac:dyDescent="0.2">
      <c r="A709" s="249">
        <v>648</v>
      </c>
      <c r="B709" s="249" t="s">
        <v>1960</v>
      </c>
      <c r="C709" s="232" t="s">
        <v>1954</v>
      </c>
      <c r="D709" s="232" t="s">
        <v>1962</v>
      </c>
      <c r="E709" s="283" t="s">
        <v>1964</v>
      </c>
      <c r="F709" s="283"/>
      <c r="G709" s="284">
        <f t="shared" si="178"/>
        <v>220</v>
      </c>
      <c r="H709" s="284">
        <f t="shared" si="181"/>
        <v>234</v>
      </c>
      <c r="I709" s="284">
        <v>15</v>
      </c>
      <c r="J709" s="284" t="s">
        <v>18</v>
      </c>
      <c r="K709" s="283"/>
      <c r="L709" s="284" t="s">
        <v>1547</v>
      </c>
      <c r="M709" s="186"/>
      <c r="N709" s="285"/>
      <c r="O709" s="117"/>
      <c r="P709" s="117"/>
      <c r="Q709" s="117"/>
      <c r="R709" s="117"/>
      <c r="S709" s="117"/>
      <c r="T709" s="117"/>
      <c r="U709" s="117"/>
      <c r="V709" s="117"/>
      <c r="W709" s="117"/>
      <c r="X709" s="117"/>
      <c r="Y709" s="117"/>
      <c r="Z709" s="117"/>
      <c r="AA709" s="117"/>
      <c r="AB709" s="117"/>
      <c r="AC709" s="117"/>
      <c r="AD709" s="117"/>
      <c r="AE709" s="117"/>
      <c r="AF709" s="117"/>
      <c r="AG709" s="117"/>
      <c r="AH709" s="117"/>
      <c r="AI709" s="117"/>
      <c r="AJ709" s="117"/>
      <c r="AK709" s="117"/>
      <c r="AL709" s="117"/>
      <c r="AM709" s="117"/>
      <c r="AN709" s="117"/>
      <c r="AO709" s="117"/>
      <c r="AP709" s="117"/>
      <c r="AQ709" s="117"/>
      <c r="AR709" s="117"/>
      <c r="AS709" s="117"/>
      <c r="AT709" s="117"/>
      <c r="AU709" s="117"/>
      <c r="AV709" s="117"/>
      <c r="AW709" s="117"/>
      <c r="AX709" s="117"/>
      <c r="AY709" s="117"/>
      <c r="AZ709" s="117"/>
      <c r="BA709" s="117"/>
      <c r="BB709" s="117"/>
      <c r="BC709" s="117"/>
      <c r="BD709" s="117"/>
      <c r="BE709" s="117"/>
      <c r="BF709" s="117"/>
      <c r="BG709" s="117"/>
      <c r="BH709" s="117"/>
      <c r="BI709" s="117"/>
      <c r="BJ709" s="117"/>
      <c r="BK709" s="117"/>
      <c r="BL709" s="117"/>
      <c r="BM709" s="117"/>
      <c r="BN709" s="117"/>
      <c r="BO709" s="117"/>
      <c r="BP709" s="117"/>
      <c r="BQ709" s="117"/>
      <c r="BR709" s="117"/>
      <c r="BS709" s="117"/>
      <c r="BT709" s="117"/>
      <c r="BU709" s="117"/>
      <c r="BV709" s="117"/>
      <c r="BW709" s="117"/>
      <c r="BX709" s="117"/>
      <c r="BY709" s="117"/>
      <c r="BZ709" s="117"/>
      <c r="CA709" s="117"/>
      <c r="CB709" s="117"/>
      <c r="CC709" s="117"/>
      <c r="CD709" s="117"/>
      <c r="CE709" s="117"/>
      <c r="CF709" s="117"/>
      <c r="CG709" s="117"/>
      <c r="CH709" s="117"/>
      <c r="CI709" s="117"/>
      <c r="CJ709" s="117"/>
      <c r="CK709" s="117"/>
      <c r="CL709" s="117"/>
      <c r="CM709" s="117"/>
      <c r="CN709" s="117"/>
      <c r="CO709" s="117"/>
      <c r="CP709" s="117"/>
      <c r="CQ709" s="117"/>
      <c r="CR709" s="117"/>
      <c r="CS709" s="117"/>
      <c r="CT709" s="117"/>
      <c r="CU709" s="117"/>
      <c r="CV709" s="117"/>
      <c r="CW709" s="117"/>
    </row>
    <row r="710" spans="1:101" s="279" customFormat="1" x14ac:dyDescent="0.2">
      <c r="A710" s="249">
        <v>649</v>
      </c>
      <c r="B710" s="249" t="s">
        <v>1961</v>
      </c>
      <c r="C710" s="232" t="s">
        <v>1955</v>
      </c>
      <c r="D710" s="232" t="s">
        <v>1963</v>
      </c>
      <c r="E710" s="283" t="s">
        <v>1965</v>
      </c>
      <c r="F710" s="283"/>
      <c r="G710" s="284">
        <f t="shared" si="178"/>
        <v>235</v>
      </c>
      <c r="H710" s="284">
        <f t="shared" si="181"/>
        <v>249</v>
      </c>
      <c r="I710" s="284">
        <v>15</v>
      </c>
      <c r="J710" s="284" t="s">
        <v>18</v>
      </c>
      <c r="K710" s="283"/>
      <c r="L710" s="284" t="s">
        <v>1547</v>
      </c>
      <c r="M710" s="186"/>
      <c r="N710" s="285"/>
      <c r="O710" s="117"/>
      <c r="P710" s="117"/>
      <c r="Q710" s="117"/>
      <c r="R710" s="117"/>
      <c r="S710" s="117"/>
      <c r="T710" s="117"/>
      <c r="U710" s="117"/>
      <c r="V710" s="117"/>
      <c r="W710" s="117"/>
      <c r="X710" s="117"/>
      <c r="Y710" s="117"/>
      <c r="Z710" s="117"/>
      <c r="AA710" s="117"/>
      <c r="AB710" s="117"/>
      <c r="AC710" s="117"/>
      <c r="AD710" s="117"/>
      <c r="AE710" s="117"/>
      <c r="AF710" s="117"/>
      <c r="AG710" s="117"/>
      <c r="AH710" s="117"/>
      <c r="AI710" s="117"/>
      <c r="AJ710" s="117"/>
      <c r="AK710" s="117"/>
      <c r="AL710" s="117"/>
      <c r="AM710" s="117"/>
      <c r="AN710" s="117"/>
      <c r="AO710" s="117"/>
      <c r="AP710" s="117"/>
      <c r="AQ710" s="117"/>
      <c r="AR710" s="117"/>
      <c r="AS710" s="117"/>
      <c r="AT710" s="117"/>
      <c r="AU710" s="117"/>
      <c r="AV710" s="117"/>
      <c r="AW710" s="117"/>
      <c r="AX710" s="117"/>
      <c r="AY710" s="117"/>
      <c r="AZ710" s="117"/>
      <c r="BA710" s="117"/>
      <c r="BB710" s="117"/>
      <c r="BC710" s="117"/>
      <c r="BD710" s="117"/>
      <c r="BE710" s="117"/>
      <c r="BF710" s="117"/>
      <c r="BG710" s="117"/>
      <c r="BH710" s="117"/>
      <c r="BI710" s="117"/>
      <c r="BJ710" s="117"/>
      <c r="BK710" s="117"/>
      <c r="BL710" s="117"/>
      <c r="BM710" s="117"/>
      <c r="BN710" s="117"/>
      <c r="BO710" s="117"/>
      <c r="BP710" s="117"/>
      <c r="BQ710" s="117"/>
      <c r="BR710" s="117"/>
      <c r="BS710" s="117"/>
      <c r="BT710" s="117"/>
      <c r="BU710" s="117"/>
      <c r="BV710" s="117"/>
      <c r="BW710" s="117"/>
      <c r="BX710" s="117"/>
      <c r="BY710" s="117"/>
      <c r="BZ710" s="117"/>
      <c r="CA710" s="117"/>
      <c r="CB710" s="117"/>
      <c r="CC710" s="117"/>
      <c r="CD710" s="117"/>
      <c r="CE710" s="117"/>
      <c r="CF710" s="117"/>
      <c r="CG710" s="117"/>
      <c r="CH710" s="117"/>
      <c r="CI710" s="117"/>
      <c r="CJ710" s="117"/>
      <c r="CK710" s="117"/>
      <c r="CL710" s="117"/>
      <c r="CM710" s="117"/>
      <c r="CN710" s="117"/>
      <c r="CO710" s="117"/>
      <c r="CP710" s="117"/>
      <c r="CQ710" s="117"/>
      <c r="CR710" s="117"/>
      <c r="CS710" s="117"/>
      <c r="CT710" s="117"/>
      <c r="CU710" s="117"/>
      <c r="CV710" s="117"/>
      <c r="CW710" s="117"/>
    </row>
    <row r="711" spans="1:101" s="279" customFormat="1" x14ac:dyDescent="0.2">
      <c r="A711" s="249">
        <v>650</v>
      </c>
      <c r="B711" s="249" t="s">
        <v>1923</v>
      </c>
      <c r="C711" s="232" t="s">
        <v>1929</v>
      </c>
      <c r="D711" s="232" t="s">
        <v>1726</v>
      </c>
      <c r="E711" s="283" t="s">
        <v>1727</v>
      </c>
      <c r="F711" s="283"/>
      <c r="G711" s="284">
        <f t="shared" si="178"/>
        <v>250</v>
      </c>
      <c r="H711" s="284">
        <f t="shared" si="181"/>
        <v>264</v>
      </c>
      <c r="I711" s="284">
        <v>15</v>
      </c>
      <c r="J711" s="284" t="s">
        <v>18</v>
      </c>
      <c r="K711" s="283"/>
      <c r="L711" s="284" t="s">
        <v>1547</v>
      </c>
      <c r="M711" s="186"/>
      <c r="N711" s="285"/>
      <c r="O711" s="117"/>
      <c r="P711" s="117"/>
      <c r="Q711" s="117"/>
      <c r="R711" s="117"/>
      <c r="S711" s="117"/>
      <c r="T711" s="117"/>
      <c r="U711" s="117"/>
      <c r="V711" s="117"/>
      <c r="W711" s="117"/>
      <c r="X711" s="117"/>
      <c r="Y711" s="117"/>
      <c r="Z711" s="117"/>
      <c r="AA711" s="117"/>
      <c r="AB711" s="117"/>
      <c r="AC711" s="117"/>
      <c r="AD711" s="117"/>
      <c r="AE711" s="117"/>
      <c r="AF711" s="117"/>
      <c r="AG711" s="117"/>
      <c r="AH711" s="117"/>
      <c r="AI711" s="117"/>
      <c r="AJ711" s="117"/>
      <c r="AK711" s="117"/>
      <c r="AL711" s="117"/>
      <c r="AM711" s="117"/>
      <c r="AN711" s="117"/>
      <c r="AO711" s="117"/>
      <c r="AP711" s="117"/>
      <c r="AQ711" s="117"/>
      <c r="AR711" s="117"/>
      <c r="AS711" s="117"/>
      <c r="AT711" s="117"/>
      <c r="AU711" s="117"/>
      <c r="AV711" s="117"/>
      <c r="AW711" s="117"/>
      <c r="AX711" s="117"/>
      <c r="AY711" s="117"/>
      <c r="AZ711" s="117"/>
      <c r="BA711" s="117"/>
      <c r="BB711" s="117"/>
      <c r="BC711" s="117"/>
      <c r="BD711" s="117"/>
      <c r="BE711" s="117"/>
      <c r="BF711" s="117"/>
      <c r="BG711" s="117"/>
      <c r="BH711" s="117"/>
      <c r="BI711" s="117"/>
      <c r="BJ711" s="117"/>
      <c r="BK711" s="117"/>
      <c r="BL711" s="117"/>
      <c r="BM711" s="117"/>
      <c r="BN711" s="117"/>
      <c r="BO711" s="117"/>
      <c r="BP711" s="117"/>
      <c r="BQ711" s="117"/>
      <c r="BR711" s="117"/>
      <c r="BS711" s="117"/>
      <c r="BT711" s="117"/>
      <c r="BU711" s="117"/>
      <c r="BV711" s="117"/>
      <c r="BW711" s="117"/>
      <c r="BX711" s="117"/>
      <c r="BY711" s="117"/>
      <c r="BZ711" s="117"/>
      <c r="CA711" s="117"/>
      <c r="CB711" s="117"/>
      <c r="CC711" s="117"/>
      <c r="CD711" s="117"/>
      <c r="CE711" s="117"/>
      <c r="CF711" s="117"/>
      <c r="CG711" s="117"/>
      <c r="CH711" s="117"/>
      <c r="CI711" s="117"/>
      <c r="CJ711" s="117"/>
      <c r="CK711" s="117"/>
      <c r="CL711" s="117"/>
      <c r="CM711" s="117"/>
      <c r="CN711" s="117"/>
      <c r="CO711" s="117"/>
      <c r="CP711" s="117"/>
      <c r="CQ711" s="117"/>
      <c r="CR711" s="117"/>
      <c r="CS711" s="117"/>
      <c r="CT711" s="117"/>
      <c r="CU711" s="117"/>
      <c r="CV711" s="117"/>
      <c r="CW711" s="117"/>
    </row>
    <row r="712" spans="1:101" s="279" customFormat="1" x14ac:dyDescent="0.2">
      <c r="A712" s="249">
        <f t="shared" si="180"/>
        <v>651</v>
      </c>
      <c r="B712" s="249" t="s">
        <v>1924</v>
      </c>
      <c r="C712" s="232" t="s">
        <v>1930</v>
      </c>
      <c r="D712" s="232" t="s">
        <v>1728</v>
      </c>
      <c r="E712" s="283" t="s">
        <v>1729</v>
      </c>
      <c r="F712" s="283"/>
      <c r="G712" s="284">
        <f t="shared" si="178"/>
        <v>265</v>
      </c>
      <c r="H712" s="284">
        <f t="shared" si="181"/>
        <v>279</v>
      </c>
      <c r="I712" s="284">
        <v>15</v>
      </c>
      <c r="J712" s="284" t="s">
        <v>18</v>
      </c>
      <c r="K712" s="283"/>
      <c r="L712" s="284" t="s">
        <v>1547</v>
      </c>
      <c r="M712" s="186"/>
      <c r="N712" s="285"/>
      <c r="O712" s="117"/>
      <c r="P712" s="117"/>
      <c r="Q712" s="117"/>
      <c r="R712" s="117"/>
      <c r="S712" s="117"/>
      <c r="T712" s="117"/>
      <c r="U712" s="117"/>
      <c r="V712" s="117"/>
      <c r="W712" s="117"/>
      <c r="X712" s="117"/>
      <c r="Y712" s="117"/>
      <c r="Z712" s="117"/>
      <c r="AA712" s="117"/>
      <c r="AB712" s="117"/>
      <c r="AC712" s="117"/>
      <c r="AD712" s="117"/>
      <c r="AE712" s="117"/>
      <c r="AF712" s="117"/>
      <c r="AG712" s="117"/>
      <c r="AH712" s="117"/>
      <c r="AI712" s="117"/>
      <c r="AJ712" s="117"/>
      <c r="AK712" s="117"/>
      <c r="AL712" s="117"/>
      <c r="AM712" s="117"/>
      <c r="AN712" s="117"/>
      <c r="AO712" s="117"/>
      <c r="AP712" s="117"/>
      <c r="AQ712" s="117"/>
      <c r="AR712" s="117"/>
      <c r="AS712" s="117"/>
      <c r="AT712" s="117"/>
      <c r="AU712" s="117"/>
      <c r="AV712" s="117"/>
      <c r="AW712" s="117"/>
      <c r="AX712" s="117"/>
      <c r="AY712" s="117"/>
      <c r="AZ712" s="117"/>
      <c r="BA712" s="117"/>
      <c r="BB712" s="117"/>
      <c r="BC712" s="117"/>
      <c r="BD712" s="117"/>
      <c r="BE712" s="117"/>
      <c r="BF712" s="117"/>
      <c r="BG712" s="117"/>
      <c r="BH712" s="117"/>
      <c r="BI712" s="117"/>
      <c r="BJ712" s="117"/>
      <c r="BK712" s="117"/>
      <c r="BL712" s="117"/>
      <c r="BM712" s="117"/>
      <c r="BN712" s="117"/>
      <c r="BO712" s="117"/>
      <c r="BP712" s="117"/>
      <c r="BQ712" s="117"/>
      <c r="BR712" s="117"/>
      <c r="BS712" s="117"/>
      <c r="BT712" s="117"/>
      <c r="BU712" s="117"/>
      <c r="BV712" s="117"/>
      <c r="BW712" s="117"/>
      <c r="BX712" s="117"/>
      <c r="BY712" s="117"/>
      <c r="BZ712" s="117"/>
      <c r="CA712" s="117"/>
      <c r="CB712" s="117"/>
      <c r="CC712" s="117"/>
      <c r="CD712" s="117"/>
      <c r="CE712" s="117"/>
      <c r="CF712" s="117"/>
      <c r="CG712" s="117"/>
      <c r="CH712" s="117"/>
      <c r="CI712" s="117"/>
      <c r="CJ712" s="117"/>
      <c r="CK712" s="117"/>
      <c r="CL712" s="117"/>
      <c r="CM712" s="117"/>
      <c r="CN712" s="117"/>
      <c r="CO712" s="117"/>
      <c r="CP712" s="117"/>
      <c r="CQ712" s="117"/>
      <c r="CR712" s="117"/>
      <c r="CS712" s="117"/>
      <c r="CT712" s="117"/>
      <c r="CU712" s="117"/>
      <c r="CV712" s="117"/>
      <c r="CW712" s="117"/>
    </row>
    <row r="713" spans="1:101" s="279" customFormat="1" x14ac:dyDescent="0.2">
      <c r="A713" s="249">
        <f t="shared" si="180"/>
        <v>652</v>
      </c>
      <c r="B713" s="249" t="s">
        <v>1925</v>
      </c>
      <c r="C713" s="232" t="s">
        <v>1931</v>
      </c>
      <c r="D713" s="232" t="s">
        <v>1730</v>
      </c>
      <c r="E713" s="283" t="s">
        <v>1731</v>
      </c>
      <c r="F713" s="283"/>
      <c r="G713" s="284">
        <f t="shared" si="178"/>
        <v>280</v>
      </c>
      <c r="H713" s="284">
        <f t="shared" si="181"/>
        <v>294</v>
      </c>
      <c r="I713" s="284">
        <v>15</v>
      </c>
      <c r="J713" s="284" t="s">
        <v>18</v>
      </c>
      <c r="K713" s="283"/>
      <c r="L713" s="284" t="s">
        <v>1547</v>
      </c>
      <c r="M713" s="186"/>
      <c r="N713" s="285"/>
      <c r="O713" s="117"/>
      <c r="P713" s="117"/>
      <c r="Q713" s="117"/>
      <c r="R713" s="117"/>
      <c r="S713" s="117"/>
      <c r="T713" s="117"/>
      <c r="U713" s="117"/>
      <c r="V713" s="117"/>
      <c r="W713" s="117"/>
      <c r="X713" s="117"/>
      <c r="Y713" s="117"/>
      <c r="Z713" s="117"/>
      <c r="AA713" s="117"/>
      <c r="AB713" s="117"/>
      <c r="AC713" s="117"/>
      <c r="AD713" s="117"/>
      <c r="AE713" s="117"/>
      <c r="AF713" s="117"/>
      <c r="AG713" s="117"/>
      <c r="AH713" s="117"/>
      <c r="AI713" s="117"/>
      <c r="AJ713" s="117"/>
      <c r="AK713" s="117"/>
      <c r="AL713" s="117"/>
      <c r="AM713" s="117"/>
      <c r="AN713" s="117"/>
      <c r="AO713" s="117"/>
      <c r="AP713" s="117"/>
      <c r="AQ713" s="117"/>
      <c r="AR713" s="117"/>
      <c r="AS713" s="117"/>
      <c r="AT713" s="117"/>
      <c r="AU713" s="117"/>
      <c r="AV713" s="117"/>
      <c r="AW713" s="117"/>
      <c r="AX713" s="117"/>
      <c r="AY713" s="117"/>
      <c r="AZ713" s="117"/>
      <c r="BA713" s="117"/>
      <c r="BB713" s="117"/>
      <c r="BC713" s="117"/>
      <c r="BD713" s="117"/>
      <c r="BE713" s="117"/>
      <c r="BF713" s="117"/>
      <c r="BG713" s="117"/>
      <c r="BH713" s="117"/>
      <c r="BI713" s="117"/>
      <c r="BJ713" s="117"/>
      <c r="BK713" s="117"/>
      <c r="BL713" s="117"/>
      <c r="BM713" s="117"/>
      <c r="BN713" s="117"/>
      <c r="BO713" s="117"/>
      <c r="BP713" s="117"/>
      <c r="BQ713" s="117"/>
      <c r="BR713" s="117"/>
      <c r="BS713" s="117"/>
      <c r="BT713" s="117"/>
      <c r="BU713" s="117"/>
      <c r="BV713" s="117"/>
      <c r="BW713" s="117"/>
      <c r="BX713" s="117"/>
      <c r="BY713" s="117"/>
      <c r="BZ713" s="117"/>
      <c r="CA713" s="117"/>
      <c r="CB713" s="117"/>
      <c r="CC713" s="117"/>
      <c r="CD713" s="117"/>
      <c r="CE713" s="117"/>
      <c r="CF713" s="117"/>
      <c r="CG713" s="117"/>
      <c r="CH713" s="117"/>
      <c r="CI713" s="117"/>
      <c r="CJ713" s="117"/>
      <c r="CK713" s="117"/>
      <c r="CL713" s="117"/>
      <c r="CM713" s="117"/>
      <c r="CN713" s="117"/>
      <c r="CO713" s="117"/>
      <c r="CP713" s="117"/>
      <c r="CQ713" s="117"/>
      <c r="CR713" s="117"/>
      <c r="CS713" s="117"/>
      <c r="CT713" s="117"/>
      <c r="CU713" s="117"/>
      <c r="CV713" s="117"/>
      <c r="CW713" s="117"/>
    </row>
    <row r="714" spans="1:101" s="279" customFormat="1" x14ac:dyDescent="0.2">
      <c r="A714" s="249">
        <f t="shared" si="180"/>
        <v>653</v>
      </c>
      <c r="B714" s="249" t="s">
        <v>1926</v>
      </c>
      <c r="C714" s="232" t="s">
        <v>1932</v>
      </c>
      <c r="D714" s="232" t="s">
        <v>1732</v>
      </c>
      <c r="E714" s="283" t="s">
        <v>1733</v>
      </c>
      <c r="F714" s="283"/>
      <c r="G714" s="284">
        <f t="shared" si="178"/>
        <v>295</v>
      </c>
      <c r="H714" s="284">
        <f t="shared" si="181"/>
        <v>309</v>
      </c>
      <c r="I714" s="284">
        <v>15</v>
      </c>
      <c r="J714" s="284" t="s">
        <v>18</v>
      </c>
      <c r="K714" s="283"/>
      <c r="L714" s="284" t="s">
        <v>1547</v>
      </c>
      <c r="M714" s="186"/>
      <c r="N714" s="285"/>
      <c r="O714" s="117"/>
      <c r="P714" s="117"/>
      <c r="Q714" s="117"/>
      <c r="R714" s="117"/>
      <c r="S714" s="117"/>
      <c r="T714" s="117"/>
      <c r="U714" s="117"/>
      <c r="V714" s="117"/>
      <c r="W714" s="117"/>
      <c r="X714" s="117"/>
      <c r="Y714" s="117"/>
      <c r="Z714" s="117"/>
      <c r="AA714" s="117"/>
      <c r="AB714" s="117"/>
      <c r="AC714" s="117"/>
      <c r="AD714" s="117"/>
      <c r="AE714" s="117"/>
      <c r="AF714" s="117"/>
      <c r="AG714" s="117"/>
      <c r="AH714" s="117"/>
      <c r="AI714" s="117"/>
      <c r="AJ714" s="117"/>
      <c r="AK714" s="117"/>
      <c r="AL714" s="117"/>
      <c r="AM714" s="117"/>
      <c r="AN714" s="117"/>
      <c r="AO714" s="117"/>
      <c r="AP714" s="117"/>
      <c r="AQ714" s="117"/>
      <c r="AR714" s="117"/>
      <c r="AS714" s="117"/>
      <c r="AT714" s="117"/>
      <c r="AU714" s="117"/>
      <c r="AV714" s="117"/>
      <c r="AW714" s="117"/>
      <c r="AX714" s="117"/>
      <c r="AY714" s="117"/>
      <c r="AZ714" s="117"/>
      <c r="BA714" s="117"/>
      <c r="BB714" s="117"/>
      <c r="BC714" s="117"/>
      <c r="BD714" s="117"/>
      <c r="BE714" s="117"/>
      <c r="BF714" s="117"/>
      <c r="BG714" s="117"/>
      <c r="BH714" s="117"/>
      <c r="BI714" s="117"/>
      <c r="BJ714" s="117"/>
      <c r="BK714" s="117"/>
      <c r="BL714" s="117"/>
      <c r="BM714" s="117"/>
      <c r="BN714" s="117"/>
      <c r="BO714" s="117"/>
      <c r="BP714" s="117"/>
      <c r="BQ714" s="117"/>
      <c r="BR714" s="117"/>
      <c r="BS714" s="117"/>
      <c r="BT714" s="117"/>
      <c r="BU714" s="117"/>
      <c r="BV714" s="117"/>
      <c r="BW714" s="117"/>
      <c r="BX714" s="117"/>
      <c r="BY714" s="117"/>
      <c r="BZ714" s="117"/>
      <c r="CA714" s="117"/>
      <c r="CB714" s="117"/>
      <c r="CC714" s="117"/>
      <c r="CD714" s="117"/>
      <c r="CE714" s="117"/>
      <c r="CF714" s="117"/>
      <c r="CG714" s="117"/>
      <c r="CH714" s="117"/>
      <c r="CI714" s="117"/>
      <c r="CJ714" s="117"/>
      <c r="CK714" s="117"/>
      <c r="CL714" s="117"/>
      <c r="CM714" s="117"/>
      <c r="CN714" s="117"/>
      <c r="CO714" s="117"/>
      <c r="CP714" s="117"/>
      <c r="CQ714" s="117"/>
      <c r="CR714" s="117"/>
      <c r="CS714" s="117"/>
      <c r="CT714" s="117"/>
      <c r="CU714" s="117"/>
      <c r="CV714" s="117"/>
      <c r="CW714" s="117"/>
    </row>
    <row r="715" spans="1:101" s="279" customFormat="1" x14ac:dyDescent="0.2">
      <c r="A715" s="249">
        <f t="shared" si="180"/>
        <v>654</v>
      </c>
      <c r="B715" s="249" t="s">
        <v>1927</v>
      </c>
      <c r="C715" s="232" t="s">
        <v>1933</v>
      </c>
      <c r="D715" s="232" t="s">
        <v>1734</v>
      </c>
      <c r="E715" s="283" t="s">
        <v>1735</v>
      </c>
      <c r="F715" s="283"/>
      <c r="G715" s="284">
        <f t="shared" si="178"/>
        <v>310</v>
      </c>
      <c r="H715" s="284">
        <f t="shared" si="181"/>
        <v>324</v>
      </c>
      <c r="I715" s="284">
        <v>15</v>
      </c>
      <c r="J715" s="284" t="s">
        <v>18</v>
      </c>
      <c r="K715" s="283"/>
      <c r="L715" s="284" t="s">
        <v>1547</v>
      </c>
      <c r="M715" s="186"/>
      <c r="N715" s="285"/>
      <c r="O715" s="117"/>
      <c r="P715" s="117"/>
      <c r="Q715" s="117"/>
      <c r="R715" s="117"/>
      <c r="S715" s="117"/>
      <c r="T715" s="117"/>
      <c r="U715" s="117"/>
      <c r="V715" s="117"/>
      <c r="W715" s="117"/>
      <c r="X715" s="117"/>
      <c r="Y715" s="117"/>
      <c r="Z715" s="117"/>
      <c r="AA715" s="117"/>
      <c r="AB715" s="117"/>
      <c r="AC715" s="117"/>
      <c r="AD715" s="117"/>
      <c r="AE715" s="117"/>
      <c r="AF715" s="117"/>
      <c r="AG715" s="117"/>
      <c r="AH715" s="117"/>
      <c r="AI715" s="117"/>
      <c r="AJ715" s="117"/>
      <c r="AK715" s="117"/>
      <c r="AL715" s="117"/>
      <c r="AM715" s="117"/>
      <c r="AN715" s="117"/>
      <c r="AO715" s="117"/>
      <c r="AP715" s="117"/>
      <c r="AQ715" s="117"/>
      <c r="AR715" s="117"/>
      <c r="AS715" s="117"/>
      <c r="AT715" s="117"/>
      <c r="AU715" s="117"/>
      <c r="AV715" s="117"/>
      <c r="AW715" s="117"/>
      <c r="AX715" s="117"/>
      <c r="AY715" s="117"/>
      <c r="AZ715" s="117"/>
      <c r="BA715" s="117"/>
      <c r="BB715" s="117"/>
      <c r="BC715" s="117"/>
      <c r="BD715" s="117"/>
      <c r="BE715" s="117"/>
      <c r="BF715" s="117"/>
      <c r="BG715" s="117"/>
      <c r="BH715" s="117"/>
      <c r="BI715" s="117"/>
      <c r="BJ715" s="117"/>
      <c r="BK715" s="117"/>
      <c r="BL715" s="117"/>
      <c r="BM715" s="117"/>
      <c r="BN715" s="117"/>
      <c r="BO715" s="117"/>
      <c r="BP715" s="117"/>
      <c r="BQ715" s="117"/>
      <c r="BR715" s="117"/>
      <c r="BS715" s="117"/>
      <c r="BT715" s="117"/>
      <c r="BU715" s="117"/>
      <c r="BV715" s="117"/>
      <c r="BW715" s="117"/>
      <c r="BX715" s="117"/>
      <c r="BY715" s="117"/>
      <c r="BZ715" s="117"/>
      <c r="CA715" s="117"/>
      <c r="CB715" s="117"/>
      <c r="CC715" s="117"/>
      <c r="CD715" s="117"/>
      <c r="CE715" s="117"/>
      <c r="CF715" s="117"/>
      <c r="CG715" s="117"/>
      <c r="CH715" s="117"/>
      <c r="CI715" s="117"/>
      <c r="CJ715" s="117"/>
      <c r="CK715" s="117"/>
      <c r="CL715" s="117"/>
      <c r="CM715" s="117"/>
      <c r="CN715" s="117"/>
      <c r="CO715" s="117"/>
      <c r="CP715" s="117"/>
      <c r="CQ715" s="117"/>
      <c r="CR715" s="117"/>
      <c r="CS715" s="117"/>
      <c r="CT715" s="117"/>
      <c r="CU715" s="117"/>
      <c r="CV715" s="117"/>
      <c r="CW715" s="117"/>
    </row>
    <row r="716" spans="1:101" s="279" customFormat="1" x14ac:dyDescent="0.2">
      <c r="A716" s="249">
        <f t="shared" si="180"/>
        <v>655</v>
      </c>
      <c r="B716" s="249" t="s">
        <v>1928</v>
      </c>
      <c r="C716" s="232" t="s">
        <v>1934</v>
      </c>
      <c r="D716" s="232" t="s">
        <v>1736</v>
      </c>
      <c r="E716" s="283" t="s">
        <v>1737</v>
      </c>
      <c r="F716" s="283"/>
      <c r="G716" s="284">
        <f t="shared" si="178"/>
        <v>325</v>
      </c>
      <c r="H716" s="284">
        <f t="shared" si="181"/>
        <v>339</v>
      </c>
      <c r="I716" s="284">
        <v>15</v>
      </c>
      <c r="J716" s="284" t="s">
        <v>18</v>
      </c>
      <c r="K716" s="283"/>
      <c r="L716" s="284" t="s">
        <v>1547</v>
      </c>
      <c r="M716" s="186"/>
      <c r="N716" s="285"/>
      <c r="O716" s="117"/>
      <c r="P716" s="117"/>
      <c r="Q716" s="117"/>
      <c r="R716" s="117"/>
      <c r="S716" s="117"/>
      <c r="T716" s="117"/>
      <c r="U716" s="117"/>
      <c r="V716" s="117"/>
      <c r="W716" s="117"/>
      <c r="X716" s="117"/>
      <c r="Y716" s="117"/>
      <c r="Z716" s="117"/>
      <c r="AA716" s="117"/>
      <c r="AB716" s="117"/>
      <c r="AC716" s="117"/>
      <c r="AD716" s="117"/>
      <c r="AE716" s="117"/>
      <c r="AF716" s="117"/>
      <c r="AG716" s="117"/>
      <c r="AH716" s="117"/>
      <c r="AI716" s="117"/>
      <c r="AJ716" s="117"/>
      <c r="AK716" s="117"/>
      <c r="AL716" s="117"/>
      <c r="AM716" s="117"/>
      <c r="AN716" s="117"/>
      <c r="AO716" s="117"/>
      <c r="AP716" s="117"/>
      <c r="AQ716" s="117"/>
      <c r="AR716" s="117"/>
      <c r="AS716" s="117"/>
      <c r="AT716" s="117"/>
      <c r="AU716" s="117"/>
      <c r="AV716" s="117"/>
      <c r="AW716" s="117"/>
      <c r="AX716" s="117"/>
      <c r="AY716" s="117"/>
      <c r="AZ716" s="117"/>
      <c r="BA716" s="117"/>
      <c r="BB716" s="117"/>
      <c r="BC716" s="117"/>
      <c r="BD716" s="117"/>
      <c r="BE716" s="117"/>
      <c r="BF716" s="117"/>
      <c r="BG716" s="117"/>
      <c r="BH716" s="117"/>
      <c r="BI716" s="117"/>
      <c r="BJ716" s="117"/>
      <c r="BK716" s="117"/>
      <c r="BL716" s="117"/>
      <c r="BM716" s="117"/>
      <c r="BN716" s="117"/>
      <c r="BO716" s="117"/>
      <c r="BP716" s="117"/>
      <c r="BQ716" s="117"/>
      <c r="BR716" s="117"/>
      <c r="BS716" s="117"/>
      <c r="BT716" s="117"/>
      <c r="BU716" s="117"/>
      <c r="BV716" s="117"/>
      <c r="BW716" s="117"/>
      <c r="BX716" s="117"/>
      <c r="BY716" s="117"/>
      <c r="BZ716" s="117"/>
      <c r="CA716" s="117"/>
      <c r="CB716" s="117"/>
      <c r="CC716" s="117"/>
      <c r="CD716" s="117"/>
      <c r="CE716" s="117"/>
      <c r="CF716" s="117"/>
      <c r="CG716" s="117"/>
      <c r="CH716" s="117"/>
      <c r="CI716" s="117"/>
      <c r="CJ716" s="117"/>
      <c r="CK716" s="117"/>
      <c r="CL716" s="117"/>
      <c r="CM716" s="117"/>
      <c r="CN716" s="117"/>
      <c r="CO716" s="117"/>
      <c r="CP716" s="117"/>
      <c r="CQ716" s="117"/>
      <c r="CR716" s="117"/>
      <c r="CS716" s="117"/>
      <c r="CT716" s="117"/>
      <c r="CU716" s="117"/>
      <c r="CV716" s="117"/>
      <c r="CW716" s="117"/>
    </row>
    <row r="717" spans="1:101" x14ac:dyDescent="0.2">
      <c r="A717" s="307">
        <v>656</v>
      </c>
      <c r="B717" s="313" t="s">
        <v>1912</v>
      </c>
      <c r="C717" s="314" t="s">
        <v>1913</v>
      </c>
      <c r="D717" s="308" t="s">
        <v>1914</v>
      </c>
      <c r="E717" s="310" t="s">
        <v>1915</v>
      </c>
      <c r="F717" s="310"/>
      <c r="G717" s="311">
        <f t="shared" si="178"/>
        <v>340</v>
      </c>
      <c r="H717" s="311">
        <f t="shared" si="181"/>
        <v>354</v>
      </c>
      <c r="I717" s="311">
        <v>15</v>
      </c>
      <c r="J717" s="311" t="s">
        <v>18</v>
      </c>
      <c r="K717" s="310"/>
      <c r="L717" s="311" t="s">
        <v>1547</v>
      </c>
      <c r="M717" s="312"/>
      <c r="N717" s="322"/>
    </row>
    <row r="718" spans="1:101" x14ac:dyDescent="0.2">
      <c r="A718" s="307">
        <v>657</v>
      </c>
      <c r="B718" s="313" t="s">
        <v>1916</v>
      </c>
      <c r="C718" s="314" t="s">
        <v>1917</v>
      </c>
      <c r="D718" s="308" t="s">
        <v>1918</v>
      </c>
      <c r="E718" s="310" t="s">
        <v>1919</v>
      </c>
      <c r="F718" s="310"/>
      <c r="G718" s="311">
        <f t="shared" si="178"/>
        <v>355</v>
      </c>
      <c r="H718" s="311">
        <f t="shared" si="181"/>
        <v>369</v>
      </c>
      <c r="I718" s="311">
        <v>15</v>
      </c>
      <c r="J718" s="311" t="s">
        <v>18</v>
      </c>
      <c r="K718" s="310"/>
      <c r="L718" s="311" t="s">
        <v>1547</v>
      </c>
      <c r="M718" s="312"/>
      <c r="N718" s="322"/>
    </row>
    <row r="719" spans="1:101" x14ac:dyDescent="0.2">
      <c r="A719" s="249">
        <f t="shared" si="180"/>
        <v>658</v>
      </c>
      <c r="B719" s="249" t="s">
        <v>1922</v>
      </c>
      <c r="C719" s="232" t="s">
        <v>1921</v>
      </c>
      <c r="D719" s="232" t="s">
        <v>1920</v>
      </c>
      <c r="E719" s="283" t="s">
        <v>1860</v>
      </c>
      <c r="F719" s="283"/>
      <c r="G719" s="284">
        <f t="shared" si="178"/>
        <v>370</v>
      </c>
      <c r="H719" s="284">
        <f t="shared" si="181"/>
        <v>384</v>
      </c>
      <c r="I719" s="284">
        <v>15</v>
      </c>
      <c r="J719" s="284" t="s">
        <v>18</v>
      </c>
      <c r="K719" s="283"/>
      <c r="L719" s="284" t="s">
        <v>1547</v>
      </c>
      <c r="M719" s="186"/>
      <c r="N719" s="285"/>
    </row>
    <row r="720" spans="1:101" s="117" customFormat="1" ht="15" x14ac:dyDescent="0.2">
      <c r="A720" s="288">
        <v>659</v>
      </c>
      <c r="B720" s="292"/>
      <c r="C720" s="293"/>
      <c r="D720" s="294" t="s">
        <v>28</v>
      </c>
      <c r="E720" s="289" t="s">
        <v>14</v>
      </c>
      <c r="F720" s="289"/>
      <c r="G720" s="290">
        <f>H719+1</f>
        <v>385</v>
      </c>
      <c r="H720" s="290">
        <v>600</v>
      </c>
      <c r="I720" s="290">
        <f>H720-H719</f>
        <v>216</v>
      </c>
      <c r="J720" s="290" t="s">
        <v>15</v>
      </c>
      <c r="K720" s="289"/>
      <c r="L720" s="290"/>
      <c r="M720" s="291"/>
      <c r="N720" s="295" t="s">
        <v>29</v>
      </c>
    </row>
    <row r="721" spans="1:14" ht="14.45" customHeight="1" x14ac:dyDescent="0.2">
      <c r="A721" s="324"/>
      <c r="B721" s="325"/>
      <c r="C721" s="325"/>
      <c r="D721" s="325"/>
      <c r="E721" s="325"/>
      <c r="F721" s="325"/>
      <c r="G721" s="325"/>
      <c r="H721" s="325"/>
      <c r="I721" s="325"/>
      <c r="J721" s="325"/>
      <c r="K721" s="325"/>
      <c r="L721" s="325"/>
      <c r="M721" s="325"/>
      <c r="N721" s="326"/>
    </row>
    <row r="722" spans="1:14" x14ac:dyDescent="0.2">
      <c r="A722" s="103">
        <f>A720+1</f>
        <v>660</v>
      </c>
      <c r="B722" s="103"/>
      <c r="C722" s="163" t="s">
        <v>873</v>
      </c>
      <c r="D722" s="164"/>
      <c r="E722" s="106" t="s">
        <v>14</v>
      </c>
      <c r="F722" s="106"/>
      <c r="G722" s="107">
        <f>$H$16+1</f>
        <v>7</v>
      </c>
      <c r="H722" s="107">
        <f>I722+$H$16</f>
        <v>9</v>
      </c>
      <c r="I722" s="107">
        <v>3</v>
      </c>
      <c r="J722" s="107" t="s">
        <v>18</v>
      </c>
      <c r="K722" s="106"/>
      <c r="L722" s="107"/>
      <c r="M722" s="108"/>
      <c r="N722" s="168" t="s">
        <v>874</v>
      </c>
    </row>
    <row r="723" spans="1:14" ht="15" x14ac:dyDescent="0.2">
      <c r="A723" s="103">
        <f t="shared" si="180"/>
        <v>661</v>
      </c>
      <c r="B723" s="103"/>
      <c r="C723" s="112"/>
      <c r="D723" s="105" t="s">
        <v>875</v>
      </c>
      <c r="E723" s="110">
        <v>328</v>
      </c>
      <c r="F723" s="110"/>
      <c r="G723" s="107">
        <f t="shared" ref="G723:G736" si="182">H722+1</f>
        <v>10</v>
      </c>
      <c r="H723" s="107">
        <f t="shared" ref="H723:H734" si="183">H722+I723</f>
        <v>24</v>
      </c>
      <c r="I723" s="125">
        <v>15</v>
      </c>
      <c r="J723" s="107" t="s">
        <v>18</v>
      </c>
      <c r="K723" s="106"/>
      <c r="L723" s="125">
        <v>2</v>
      </c>
      <c r="M723" s="108"/>
      <c r="N723" s="108"/>
    </row>
    <row r="724" spans="1:14" ht="15" x14ac:dyDescent="0.2">
      <c r="A724" s="103">
        <f t="shared" si="180"/>
        <v>662</v>
      </c>
      <c r="B724" s="103"/>
      <c r="C724" s="112"/>
      <c r="D724" s="105" t="s">
        <v>506</v>
      </c>
      <c r="E724" s="110">
        <v>329</v>
      </c>
      <c r="F724" s="110"/>
      <c r="G724" s="107">
        <f t="shared" si="182"/>
        <v>25</v>
      </c>
      <c r="H724" s="107">
        <f t="shared" si="183"/>
        <v>39</v>
      </c>
      <c r="I724" s="125">
        <v>15</v>
      </c>
      <c r="J724" s="107" t="s">
        <v>18</v>
      </c>
      <c r="K724" s="106"/>
      <c r="L724" s="125">
        <v>2</v>
      </c>
      <c r="M724" s="108"/>
      <c r="N724" s="108"/>
    </row>
    <row r="725" spans="1:14" ht="15" x14ac:dyDescent="0.2">
      <c r="A725" s="103">
        <f t="shared" si="180"/>
        <v>663</v>
      </c>
      <c r="B725" s="103"/>
      <c r="C725" s="112"/>
      <c r="D725" s="105" t="s">
        <v>876</v>
      </c>
      <c r="E725" s="110">
        <v>330</v>
      </c>
      <c r="F725" s="110"/>
      <c r="G725" s="107">
        <f t="shared" si="182"/>
        <v>40</v>
      </c>
      <c r="H725" s="107">
        <f t="shared" si="183"/>
        <v>54</v>
      </c>
      <c r="I725" s="125">
        <v>15</v>
      </c>
      <c r="J725" s="107" t="s">
        <v>18</v>
      </c>
      <c r="K725" s="106"/>
      <c r="L725" s="125">
        <v>2</v>
      </c>
      <c r="M725" s="108"/>
      <c r="N725" s="108"/>
    </row>
    <row r="726" spans="1:14" ht="15" x14ac:dyDescent="0.2">
      <c r="A726" s="103">
        <f t="shared" si="180"/>
        <v>664</v>
      </c>
      <c r="B726" s="103"/>
      <c r="C726" s="112"/>
      <c r="D726" s="105" t="s">
        <v>877</v>
      </c>
      <c r="E726" s="110">
        <v>331</v>
      </c>
      <c r="F726" s="110"/>
      <c r="G726" s="107">
        <f t="shared" si="182"/>
        <v>55</v>
      </c>
      <c r="H726" s="107">
        <f t="shared" si="183"/>
        <v>69</v>
      </c>
      <c r="I726" s="125">
        <v>15</v>
      </c>
      <c r="J726" s="107" t="s">
        <v>18</v>
      </c>
      <c r="K726" s="106"/>
      <c r="L726" s="125">
        <v>2</v>
      </c>
      <c r="M726" s="108"/>
      <c r="N726" s="108"/>
    </row>
    <row r="727" spans="1:14" ht="15" x14ac:dyDescent="0.2">
      <c r="A727" s="103">
        <f t="shared" si="180"/>
        <v>665</v>
      </c>
      <c r="B727" s="103"/>
      <c r="C727" s="112"/>
      <c r="D727" s="105" t="s">
        <v>878</v>
      </c>
      <c r="E727" s="110">
        <v>332</v>
      </c>
      <c r="F727" s="110"/>
      <c r="G727" s="107">
        <f t="shared" si="182"/>
        <v>70</v>
      </c>
      <c r="H727" s="107">
        <f t="shared" si="183"/>
        <v>84</v>
      </c>
      <c r="I727" s="125">
        <v>15</v>
      </c>
      <c r="J727" s="107" t="s">
        <v>18</v>
      </c>
      <c r="K727" s="106"/>
      <c r="L727" s="125">
        <v>2</v>
      </c>
      <c r="M727" s="108"/>
      <c r="N727" s="108"/>
    </row>
    <row r="728" spans="1:14" ht="15" x14ac:dyDescent="0.2">
      <c r="A728" s="103">
        <f t="shared" si="180"/>
        <v>666</v>
      </c>
      <c r="B728" s="103"/>
      <c r="C728" s="112"/>
      <c r="D728" s="105" t="s">
        <v>879</v>
      </c>
      <c r="E728" s="110">
        <v>333</v>
      </c>
      <c r="F728" s="110"/>
      <c r="G728" s="107">
        <f t="shared" si="182"/>
        <v>85</v>
      </c>
      <c r="H728" s="107">
        <f t="shared" si="183"/>
        <v>99</v>
      </c>
      <c r="I728" s="125">
        <v>15</v>
      </c>
      <c r="J728" s="107" t="s">
        <v>18</v>
      </c>
      <c r="K728" s="106"/>
      <c r="L728" s="125">
        <v>2</v>
      </c>
      <c r="M728" s="108"/>
      <c r="N728" s="108"/>
    </row>
    <row r="729" spans="1:14" ht="15" x14ac:dyDescent="0.2">
      <c r="A729" s="103">
        <f t="shared" si="180"/>
        <v>667</v>
      </c>
      <c r="B729" s="103"/>
      <c r="C729" s="112"/>
      <c r="D729" s="105" t="s">
        <v>296</v>
      </c>
      <c r="E729" s="110">
        <v>334</v>
      </c>
      <c r="F729" s="110"/>
      <c r="G729" s="107">
        <f t="shared" si="182"/>
        <v>100</v>
      </c>
      <c r="H729" s="107">
        <f t="shared" si="183"/>
        <v>114</v>
      </c>
      <c r="I729" s="125">
        <v>15</v>
      </c>
      <c r="J729" s="107" t="s">
        <v>18</v>
      </c>
      <c r="K729" s="106"/>
      <c r="L729" s="125">
        <v>2</v>
      </c>
      <c r="M729" s="108"/>
      <c r="N729" s="108"/>
    </row>
    <row r="730" spans="1:14" ht="15" x14ac:dyDescent="0.2">
      <c r="A730" s="103">
        <f t="shared" si="180"/>
        <v>668</v>
      </c>
      <c r="B730" s="103"/>
      <c r="C730" s="112"/>
      <c r="D730" s="105" t="s">
        <v>880</v>
      </c>
      <c r="E730" s="110">
        <v>335</v>
      </c>
      <c r="F730" s="110"/>
      <c r="G730" s="107">
        <f t="shared" si="182"/>
        <v>115</v>
      </c>
      <c r="H730" s="107">
        <f t="shared" si="183"/>
        <v>129</v>
      </c>
      <c r="I730" s="125">
        <v>15</v>
      </c>
      <c r="J730" s="107" t="s">
        <v>18</v>
      </c>
      <c r="K730" s="106"/>
      <c r="L730" s="125">
        <v>2</v>
      </c>
      <c r="M730" s="108"/>
      <c r="N730" s="108"/>
    </row>
    <row r="731" spans="1:14" ht="15" x14ac:dyDescent="0.2">
      <c r="A731" s="103">
        <f t="shared" si="180"/>
        <v>669</v>
      </c>
      <c r="B731" s="103"/>
      <c r="C731" s="112"/>
      <c r="D731" s="105" t="s">
        <v>881</v>
      </c>
      <c r="E731" s="110">
        <v>336</v>
      </c>
      <c r="F731" s="110"/>
      <c r="G731" s="107">
        <f t="shared" si="182"/>
        <v>130</v>
      </c>
      <c r="H731" s="107">
        <f t="shared" si="183"/>
        <v>144</v>
      </c>
      <c r="I731" s="125">
        <v>15</v>
      </c>
      <c r="J731" s="107" t="s">
        <v>18</v>
      </c>
      <c r="K731" s="106"/>
      <c r="L731" s="125">
        <v>2</v>
      </c>
      <c r="M731" s="108"/>
      <c r="N731" s="108"/>
    </row>
    <row r="732" spans="1:14" ht="15" x14ac:dyDescent="0.2">
      <c r="A732" s="103">
        <f t="shared" si="180"/>
        <v>670</v>
      </c>
      <c r="B732" s="103"/>
      <c r="C732" s="112"/>
      <c r="D732" s="105" t="s">
        <v>603</v>
      </c>
      <c r="E732" s="110">
        <v>337</v>
      </c>
      <c r="F732" s="110"/>
      <c r="G732" s="107">
        <f t="shared" si="182"/>
        <v>145</v>
      </c>
      <c r="H732" s="107">
        <f t="shared" si="183"/>
        <v>159</v>
      </c>
      <c r="I732" s="125">
        <v>15</v>
      </c>
      <c r="J732" s="107" t="s">
        <v>18</v>
      </c>
      <c r="K732" s="106"/>
      <c r="L732" s="125">
        <v>2</v>
      </c>
      <c r="M732" s="108"/>
      <c r="N732" s="108"/>
    </row>
    <row r="733" spans="1:14" ht="15" x14ac:dyDescent="0.2">
      <c r="A733" s="103">
        <f t="shared" si="180"/>
        <v>671</v>
      </c>
      <c r="B733" s="103"/>
      <c r="C733" s="112"/>
      <c r="D733" s="105" t="s">
        <v>623</v>
      </c>
      <c r="E733" s="110">
        <v>338</v>
      </c>
      <c r="F733" s="110"/>
      <c r="G733" s="107">
        <f t="shared" si="182"/>
        <v>160</v>
      </c>
      <c r="H733" s="107">
        <f t="shared" si="183"/>
        <v>174</v>
      </c>
      <c r="I733" s="125">
        <v>15</v>
      </c>
      <c r="J733" s="107" t="s">
        <v>18</v>
      </c>
      <c r="K733" s="106"/>
      <c r="L733" s="125">
        <v>2</v>
      </c>
      <c r="M733" s="108"/>
      <c r="N733" s="108"/>
    </row>
    <row r="734" spans="1:14" ht="15" x14ac:dyDescent="0.2">
      <c r="A734" s="103">
        <f t="shared" si="180"/>
        <v>672</v>
      </c>
      <c r="B734" s="103"/>
      <c r="C734" s="112"/>
      <c r="D734" s="105" t="s">
        <v>882</v>
      </c>
      <c r="E734" s="110">
        <v>339</v>
      </c>
      <c r="F734" s="110"/>
      <c r="G734" s="107">
        <f t="shared" si="182"/>
        <v>175</v>
      </c>
      <c r="H734" s="107">
        <f t="shared" si="183"/>
        <v>189</v>
      </c>
      <c r="I734" s="125">
        <v>15</v>
      </c>
      <c r="J734" s="107" t="s">
        <v>18</v>
      </c>
      <c r="K734" s="106"/>
      <c r="L734" s="125">
        <v>2</v>
      </c>
      <c r="M734" s="108"/>
      <c r="N734" s="108"/>
    </row>
    <row r="735" spans="1:14" ht="15" x14ac:dyDescent="0.2">
      <c r="A735" s="103">
        <f t="shared" si="180"/>
        <v>673</v>
      </c>
      <c r="B735" s="103"/>
      <c r="C735" s="112"/>
      <c r="D735" s="105" t="s">
        <v>883</v>
      </c>
      <c r="E735" s="110">
        <v>340</v>
      </c>
      <c r="F735" s="110"/>
      <c r="G735" s="107">
        <f>H734+1</f>
        <v>190</v>
      </c>
      <c r="H735" s="107">
        <f>H734+I735</f>
        <v>204</v>
      </c>
      <c r="I735" s="125">
        <v>15</v>
      </c>
      <c r="J735" s="107" t="s">
        <v>18</v>
      </c>
      <c r="K735" s="106"/>
      <c r="L735" s="125">
        <v>2</v>
      </c>
      <c r="M735" s="108"/>
      <c r="N735" s="108"/>
    </row>
    <row r="736" spans="1:14" ht="15" x14ac:dyDescent="0.2">
      <c r="A736" s="103">
        <f t="shared" si="180"/>
        <v>674</v>
      </c>
      <c r="B736" s="103"/>
      <c r="C736" s="112"/>
      <c r="D736" s="105" t="s">
        <v>884</v>
      </c>
      <c r="E736" s="110">
        <v>341</v>
      </c>
      <c r="F736" s="110"/>
      <c r="G736" s="107">
        <f t="shared" si="182"/>
        <v>205</v>
      </c>
      <c r="H736" s="107">
        <f t="shared" ref="H736:H743" si="184">H735+I736</f>
        <v>219</v>
      </c>
      <c r="I736" s="125">
        <v>15</v>
      </c>
      <c r="J736" s="107" t="s">
        <v>18</v>
      </c>
      <c r="K736" s="106"/>
      <c r="L736" s="125">
        <v>2</v>
      </c>
      <c r="M736" s="108"/>
      <c r="N736" s="108"/>
    </row>
    <row r="737" spans="1:101" ht="15" x14ac:dyDescent="0.2">
      <c r="A737" s="103">
        <f t="shared" si="180"/>
        <v>675</v>
      </c>
      <c r="B737" s="103"/>
      <c r="C737" s="112"/>
      <c r="D737" s="105" t="s">
        <v>885</v>
      </c>
      <c r="E737" s="106" t="s">
        <v>14</v>
      </c>
      <c r="F737" s="106"/>
      <c r="G737" s="107">
        <v>220</v>
      </c>
      <c r="H737" s="107">
        <f t="shared" si="184"/>
        <v>234</v>
      </c>
      <c r="I737" s="125">
        <v>15</v>
      </c>
      <c r="J737" s="107" t="s">
        <v>18</v>
      </c>
      <c r="K737" s="106"/>
      <c r="L737" s="125">
        <v>2</v>
      </c>
      <c r="M737" s="108"/>
      <c r="N737" s="108"/>
    </row>
    <row r="738" spans="1:101" s="175" customFormat="1" ht="15" x14ac:dyDescent="0.2">
      <c r="A738" s="103">
        <f t="shared" si="180"/>
        <v>676</v>
      </c>
      <c r="B738" s="103"/>
      <c r="C738" s="112"/>
      <c r="D738" s="105" t="s">
        <v>886</v>
      </c>
      <c r="E738" s="106" t="s">
        <v>14</v>
      </c>
      <c r="F738" s="106"/>
      <c r="G738" s="107">
        <v>235</v>
      </c>
      <c r="H738" s="107">
        <f t="shared" si="184"/>
        <v>249</v>
      </c>
      <c r="I738" s="125">
        <v>15</v>
      </c>
      <c r="J738" s="107" t="s">
        <v>18</v>
      </c>
      <c r="K738" s="106"/>
      <c r="L738" s="125">
        <v>2</v>
      </c>
      <c r="M738" s="108"/>
      <c r="N738" s="108"/>
      <c r="O738" s="117"/>
      <c r="P738" s="117"/>
      <c r="Q738" s="117"/>
      <c r="R738" s="117"/>
      <c r="S738" s="117"/>
      <c r="T738" s="117"/>
      <c r="U738" s="117"/>
      <c r="V738" s="117"/>
      <c r="W738" s="117"/>
      <c r="X738" s="117"/>
      <c r="Y738" s="117"/>
      <c r="Z738" s="117"/>
      <c r="AA738" s="117"/>
      <c r="AB738" s="117"/>
      <c r="AC738" s="117"/>
      <c r="AD738" s="117"/>
      <c r="AE738" s="117"/>
      <c r="AF738" s="117"/>
      <c r="AG738" s="117"/>
      <c r="AH738" s="117"/>
      <c r="AI738" s="117"/>
      <c r="AJ738" s="117"/>
      <c r="AK738" s="117"/>
      <c r="AL738" s="117"/>
      <c r="AM738" s="117"/>
      <c r="AN738" s="117"/>
      <c r="AO738" s="117"/>
      <c r="AP738" s="117"/>
      <c r="AQ738" s="117"/>
      <c r="AR738" s="117"/>
      <c r="AS738" s="117"/>
      <c r="AT738" s="117"/>
      <c r="AU738" s="117"/>
      <c r="AV738" s="117"/>
      <c r="AW738" s="117"/>
      <c r="AX738" s="117"/>
      <c r="AY738" s="117"/>
      <c r="AZ738" s="117"/>
      <c r="BA738" s="117"/>
      <c r="BB738" s="117"/>
      <c r="BC738" s="117"/>
      <c r="BD738" s="117"/>
      <c r="BE738" s="117"/>
      <c r="BF738" s="117"/>
      <c r="BG738" s="117"/>
      <c r="BH738" s="117"/>
      <c r="BI738" s="117"/>
      <c r="BJ738" s="117"/>
      <c r="BK738" s="117"/>
      <c r="BL738" s="117"/>
      <c r="BM738" s="117"/>
      <c r="BN738" s="117"/>
      <c r="BO738" s="117"/>
      <c r="BP738" s="117"/>
      <c r="BQ738" s="117"/>
      <c r="BR738" s="117"/>
      <c r="BS738" s="117"/>
      <c r="BT738" s="117"/>
      <c r="BU738" s="117"/>
      <c r="BV738" s="117"/>
      <c r="BW738" s="117"/>
      <c r="BX738" s="117"/>
      <c r="BY738" s="117"/>
      <c r="BZ738" s="117"/>
      <c r="CA738" s="117"/>
      <c r="CB738" s="117"/>
      <c r="CC738" s="117"/>
      <c r="CD738" s="117"/>
      <c r="CE738" s="117"/>
      <c r="CF738" s="117"/>
      <c r="CG738" s="117"/>
      <c r="CH738" s="117"/>
      <c r="CI738" s="117"/>
      <c r="CJ738" s="117"/>
      <c r="CK738" s="117"/>
      <c r="CL738" s="117"/>
      <c r="CM738" s="117"/>
      <c r="CN738" s="117"/>
      <c r="CO738" s="117"/>
      <c r="CP738" s="117"/>
      <c r="CQ738" s="117"/>
      <c r="CR738" s="117"/>
      <c r="CS738" s="117"/>
      <c r="CT738" s="117"/>
      <c r="CU738" s="117"/>
      <c r="CV738" s="117"/>
      <c r="CW738" s="117"/>
    </row>
    <row r="739" spans="1:101" s="117" customFormat="1" ht="15" x14ac:dyDescent="0.2">
      <c r="A739" s="103">
        <f t="shared" si="180"/>
        <v>677</v>
      </c>
      <c r="B739" s="103"/>
      <c r="C739" s="120"/>
      <c r="D739" s="173" t="s">
        <v>312</v>
      </c>
      <c r="E739" s="170" t="s">
        <v>887</v>
      </c>
      <c r="F739" s="170"/>
      <c r="G739" s="101">
        <v>250</v>
      </c>
      <c r="H739" s="101">
        <f t="shared" si="184"/>
        <v>264</v>
      </c>
      <c r="I739" s="174">
        <v>15</v>
      </c>
      <c r="J739" s="101" t="s">
        <v>18</v>
      </c>
      <c r="K739" s="170"/>
      <c r="L739" s="174">
        <v>2</v>
      </c>
      <c r="M739" s="102"/>
      <c r="N739" s="102"/>
    </row>
    <row r="740" spans="1:101" s="117" customFormat="1" ht="15" x14ac:dyDescent="0.2">
      <c r="A740" s="103">
        <f t="shared" si="180"/>
        <v>678</v>
      </c>
      <c r="B740" s="103"/>
      <c r="C740" s="112"/>
      <c r="D740" s="105" t="s">
        <v>888</v>
      </c>
      <c r="E740" s="106" t="s">
        <v>889</v>
      </c>
      <c r="F740" s="106"/>
      <c r="G740" s="107">
        <v>265</v>
      </c>
      <c r="H740" s="101">
        <f t="shared" si="184"/>
        <v>279</v>
      </c>
      <c r="I740" s="125">
        <v>15</v>
      </c>
      <c r="J740" s="107" t="s">
        <v>18</v>
      </c>
      <c r="K740" s="106"/>
      <c r="L740" s="125">
        <v>2</v>
      </c>
      <c r="M740" s="108"/>
      <c r="N740" s="108"/>
    </row>
    <row r="741" spans="1:101" s="117" customFormat="1" ht="15" x14ac:dyDescent="0.2">
      <c r="A741" s="103">
        <f t="shared" si="180"/>
        <v>679</v>
      </c>
      <c r="B741" s="103"/>
      <c r="C741" s="112"/>
      <c r="D741" s="105" t="s">
        <v>890</v>
      </c>
      <c r="E741" s="106" t="s">
        <v>891</v>
      </c>
      <c r="F741" s="106"/>
      <c r="G741" s="107">
        <f>H740+1</f>
        <v>280</v>
      </c>
      <c r="H741" s="101">
        <f t="shared" si="184"/>
        <v>294</v>
      </c>
      <c r="I741" s="125">
        <v>15</v>
      </c>
      <c r="J741" s="107" t="s">
        <v>18</v>
      </c>
      <c r="K741" s="106"/>
      <c r="L741" s="125">
        <v>2</v>
      </c>
      <c r="M741" s="108"/>
      <c r="N741" s="108"/>
    </row>
    <row r="742" spans="1:101" s="117" customFormat="1" ht="15" x14ac:dyDescent="0.2">
      <c r="A742" s="103">
        <f t="shared" si="180"/>
        <v>680</v>
      </c>
      <c r="B742" s="103"/>
      <c r="C742" s="112"/>
      <c r="D742" s="105" t="s">
        <v>892</v>
      </c>
      <c r="E742" s="106" t="s">
        <v>893</v>
      </c>
      <c r="F742" s="106"/>
      <c r="G742" s="107">
        <f>H741+1</f>
        <v>295</v>
      </c>
      <c r="H742" s="101">
        <f t="shared" si="184"/>
        <v>309</v>
      </c>
      <c r="I742" s="125">
        <v>15</v>
      </c>
      <c r="J742" s="107" t="s">
        <v>18</v>
      </c>
      <c r="K742" s="106"/>
      <c r="L742" s="125">
        <v>2</v>
      </c>
      <c r="M742" s="108"/>
      <c r="N742" s="108"/>
    </row>
    <row r="743" spans="1:101" s="117" customFormat="1" ht="15" x14ac:dyDescent="0.2">
      <c r="A743" s="103">
        <f t="shared" si="180"/>
        <v>681</v>
      </c>
      <c r="B743" s="103"/>
      <c r="C743" s="112"/>
      <c r="D743" s="105" t="s">
        <v>894</v>
      </c>
      <c r="E743" s="106" t="s">
        <v>895</v>
      </c>
      <c r="F743" s="106"/>
      <c r="G743" s="107">
        <f>H742+1</f>
        <v>310</v>
      </c>
      <c r="H743" s="101">
        <f t="shared" si="184"/>
        <v>324</v>
      </c>
      <c r="I743" s="125">
        <v>15</v>
      </c>
      <c r="J743" s="107" t="s">
        <v>18</v>
      </c>
      <c r="K743" s="106"/>
      <c r="L743" s="125">
        <v>2</v>
      </c>
      <c r="M743" s="108"/>
      <c r="N743" s="108"/>
    </row>
    <row r="744" spans="1:101" s="117" customFormat="1" ht="15" x14ac:dyDescent="0.2">
      <c r="A744" s="103">
        <f t="shared" si="180"/>
        <v>682</v>
      </c>
      <c r="B744" s="103"/>
      <c r="C744" s="112"/>
      <c r="D744" s="105" t="s">
        <v>896</v>
      </c>
      <c r="E744" s="106" t="s">
        <v>897</v>
      </c>
      <c r="F744" s="106"/>
      <c r="G744" s="107">
        <f t="shared" ref="G744:G748" si="185">H743+1</f>
        <v>325</v>
      </c>
      <c r="H744" s="107">
        <f t="shared" ref="H744:H747" si="186">H743+I744</f>
        <v>339</v>
      </c>
      <c r="I744" s="125">
        <v>15</v>
      </c>
      <c r="J744" s="107" t="s">
        <v>18</v>
      </c>
      <c r="K744" s="106"/>
      <c r="L744" s="125">
        <v>2</v>
      </c>
      <c r="M744" s="108"/>
      <c r="N744" s="108" t="s">
        <v>898</v>
      </c>
    </row>
    <row r="745" spans="1:101" s="117" customFormat="1" ht="15" x14ac:dyDescent="0.2">
      <c r="A745" s="103">
        <f t="shared" si="180"/>
        <v>683</v>
      </c>
      <c r="B745" s="103"/>
      <c r="C745" s="112"/>
      <c r="D745" s="105" t="s">
        <v>899</v>
      </c>
      <c r="E745" s="106" t="s">
        <v>900</v>
      </c>
      <c r="F745" s="106"/>
      <c r="G745" s="107">
        <f t="shared" si="185"/>
        <v>340</v>
      </c>
      <c r="H745" s="107">
        <f t="shared" si="186"/>
        <v>354</v>
      </c>
      <c r="I745" s="125">
        <v>15</v>
      </c>
      <c r="J745" s="107" t="s">
        <v>18</v>
      </c>
      <c r="K745" s="106"/>
      <c r="L745" s="125">
        <v>2</v>
      </c>
      <c r="M745" s="108"/>
      <c r="N745" s="108" t="s">
        <v>901</v>
      </c>
    </row>
    <row r="746" spans="1:101" s="117" customFormat="1" ht="15" x14ac:dyDescent="0.2">
      <c r="A746" s="103">
        <f t="shared" si="180"/>
        <v>684</v>
      </c>
      <c r="B746" s="103"/>
      <c r="C746" s="112"/>
      <c r="D746" s="105" t="s">
        <v>902</v>
      </c>
      <c r="E746" s="106" t="s">
        <v>903</v>
      </c>
      <c r="F746" s="106"/>
      <c r="G746" s="107">
        <f t="shared" si="185"/>
        <v>355</v>
      </c>
      <c r="H746" s="107">
        <f t="shared" si="186"/>
        <v>369</v>
      </c>
      <c r="I746" s="125">
        <v>15</v>
      </c>
      <c r="J746" s="107" t="s">
        <v>18</v>
      </c>
      <c r="K746" s="106"/>
      <c r="L746" s="125">
        <v>2</v>
      </c>
      <c r="M746" s="108"/>
      <c r="N746" s="108" t="s">
        <v>904</v>
      </c>
    </row>
    <row r="747" spans="1:101" ht="25.5" x14ac:dyDescent="0.2">
      <c r="A747" s="103">
        <f t="shared" si="180"/>
        <v>685</v>
      </c>
      <c r="B747" s="103"/>
      <c r="C747" s="112"/>
      <c r="D747" s="105" t="s">
        <v>905</v>
      </c>
      <c r="E747" s="106" t="s">
        <v>906</v>
      </c>
      <c r="F747" s="106"/>
      <c r="G747" s="107">
        <f t="shared" si="185"/>
        <v>370</v>
      </c>
      <c r="H747" s="107">
        <f t="shared" si="186"/>
        <v>384</v>
      </c>
      <c r="I747" s="125">
        <v>15</v>
      </c>
      <c r="J747" s="107" t="s">
        <v>18</v>
      </c>
      <c r="K747" s="106"/>
      <c r="L747" s="125">
        <v>2</v>
      </c>
      <c r="M747" s="108"/>
      <c r="N747" s="108" t="s">
        <v>907</v>
      </c>
    </row>
    <row r="748" spans="1:101" ht="15" x14ac:dyDescent="0.2">
      <c r="A748" s="288">
        <f t="shared" si="180"/>
        <v>686</v>
      </c>
      <c r="B748" s="292"/>
      <c r="C748" s="293"/>
      <c r="D748" s="294" t="s">
        <v>28</v>
      </c>
      <c r="E748" s="289" t="s">
        <v>14</v>
      </c>
      <c r="F748" s="289"/>
      <c r="G748" s="290">
        <f t="shared" si="185"/>
        <v>385</v>
      </c>
      <c r="H748" s="290">
        <v>600</v>
      </c>
      <c r="I748" s="290">
        <f>H748-H747</f>
        <v>216</v>
      </c>
      <c r="J748" s="290" t="s">
        <v>15</v>
      </c>
      <c r="K748" s="289"/>
      <c r="L748" s="290"/>
      <c r="M748" s="291"/>
      <c r="N748" s="295" t="s">
        <v>29</v>
      </c>
    </row>
    <row r="749" spans="1:101" ht="14.45" customHeight="1" x14ac:dyDescent="0.2">
      <c r="A749" s="324"/>
      <c r="B749" s="325"/>
      <c r="C749" s="325"/>
      <c r="D749" s="325"/>
      <c r="E749" s="325"/>
      <c r="F749" s="325"/>
      <c r="G749" s="325"/>
      <c r="H749" s="325"/>
      <c r="I749" s="325"/>
      <c r="J749" s="325"/>
      <c r="K749" s="325"/>
      <c r="L749" s="325"/>
      <c r="M749" s="325"/>
      <c r="N749" s="326"/>
    </row>
    <row r="750" spans="1:101" x14ac:dyDescent="0.2">
      <c r="A750" s="103">
        <f>A748+1</f>
        <v>687</v>
      </c>
      <c r="B750" s="103"/>
      <c r="C750" s="163" t="s">
        <v>908</v>
      </c>
      <c r="D750" s="164"/>
      <c r="E750" s="106" t="s">
        <v>14</v>
      </c>
      <c r="F750" s="106"/>
      <c r="G750" s="107">
        <f>$H$16+1</f>
        <v>7</v>
      </c>
      <c r="H750" s="107">
        <f>I750+$H$16</f>
        <v>9</v>
      </c>
      <c r="I750" s="107">
        <v>3</v>
      </c>
      <c r="J750" s="107" t="s">
        <v>18</v>
      </c>
      <c r="K750" s="106"/>
      <c r="L750" s="107"/>
      <c r="M750" s="108"/>
      <c r="N750" s="168" t="s">
        <v>909</v>
      </c>
    </row>
    <row r="751" spans="1:101" ht="15" x14ac:dyDescent="0.2">
      <c r="A751" s="103">
        <f t="shared" si="180"/>
        <v>688</v>
      </c>
      <c r="B751" s="103"/>
      <c r="C751" s="112"/>
      <c r="D751" s="105" t="s">
        <v>910</v>
      </c>
      <c r="E751" s="124">
        <v>343</v>
      </c>
      <c r="F751" s="124"/>
      <c r="G751" s="107">
        <f t="shared" ref="G751:G755" si="187">H750+1</f>
        <v>10</v>
      </c>
      <c r="H751" s="107">
        <f>H750+I751</f>
        <v>24</v>
      </c>
      <c r="I751" s="125">
        <v>15</v>
      </c>
      <c r="J751" s="125" t="s">
        <v>18</v>
      </c>
      <c r="K751" s="110"/>
      <c r="L751" s="125">
        <v>2</v>
      </c>
      <c r="M751" s="108"/>
      <c r="N751" s="108"/>
    </row>
    <row r="752" spans="1:101" ht="15" x14ac:dyDescent="0.2">
      <c r="A752" s="103">
        <f t="shared" si="180"/>
        <v>689</v>
      </c>
      <c r="B752" s="103"/>
      <c r="C752" s="112"/>
      <c r="D752" s="105" t="s">
        <v>911</v>
      </c>
      <c r="E752" s="124">
        <v>344</v>
      </c>
      <c r="F752" s="124"/>
      <c r="G752" s="107">
        <f t="shared" si="187"/>
        <v>25</v>
      </c>
      <c r="H752" s="107">
        <f>H751+I752</f>
        <v>39</v>
      </c>
      <c r="I752" s="125">
        <v>15</v>
      </c>
      <c r="J752" s="125" t="s">
        <v>18</v>
      </c>
      <c r="K752" s="110"/>
      <c r="L752" s="125">
        <v>2</v>
      </c>
      <c r="M752" s="108"/>
      <c r="N752" s="108"/>
    </row>
    <row r="753" spans="1:14" ht="15" x14ac:dyDescent="0.2">
      <c r="A753" s="103">
        <f t="shared" si="180"/>
        <v>690</v>
      </c>
      <c r="B753" s="103"/>
      <c r="C753" s="112"/>
      <c r="D753" s="105" t="s">
        <v>912</v>
      </c>
      <c r="E753" s="124">
        <v>345</v>
      </c>
      <c r="F753" s="124"/>
      <c r="G753" s="107">
        <f t="shared" si="187"/>
        <v>40</v>
      </c>
      <c r="H753" s="107">
        <f>H752+I753</f>
        <v>54</v>
      </c>
      <c r="I753" s="125">
        <v>15</v>
      </c>
      <c r="J753" s="125" t="s">
        <v>18</v>
      </c>
      <c r="K753" s="110"/>
      <c r="L753" s="125">
        <v>2</v>
      </c>
      <c r="M753" s="108"/>
      <c r="N753" s="108"/>
    </row>
    <row r="754" spans="1:14" ht="15" x14ac:dyDescent="0.2">
      <c r="A754" s="103">
        <f t="shared" si="180"/>
        <v>691</v>
      </c>
      <c r="B754" s="103"/>
      <c r="C754" s="112"/>
      <c r="D754" s="105" t="s">
        <v>913</v>
      </c>
      <c r="E754" s="124">
        <v>346</v>
      </c>
      <c r="F754" s="124"/>
      <c r="G754" s="107">
        <f t="shared" si="187"/>
        <v>55</v>
      </c>
      <c r="H754" s="107">
        <f>H753+I754</f>
        <v>69</v>
      </c>
      <c r="I754" s="125">
        <v>15</v>
      </c>
      <c r="J754" s="125" t="s">
        <v>18</v>
      </c>
      <c r="K754" s="110"/>
      <c r="L754" s="125">
        <v>2</v>
      </c>
      <c r="M754" s="108"/>
      <c r="N754" s="108"/>
    </row>
    <row r="755" spans="1:14" s="117" customFormat="1" ht="15" x14ac:dyDescent="0.2">
      <c r="A755" s="103">
        <f t="shared" si="180"/>
        <v>692</v>
      </c>
      <c r="B755" s="103"/>
      <c r="C755" s="112"/>
      <c r="D755" s="105" t="s">
        <v>914</v>
      </c>
      <c r="E755" s="124">
        <v>347</v>
      </c>
      <c r="F755" s="124"/>
      <c r="G755" s="107">
        <f t="shared" si="187"/>
        <v>70</v>
      </c>
      <c r="H755" s="107">
        <f>H754+I755</f>
        <v>84</v>
      </c>
      <c r="I755" s="125">
        <v>15</v>
      </c>
      <c r="J755" s="125" t="s">
        <v>18</v>
      </c>
      <c r="K755" s="110"/>
      <c r="L755" s="125">
        <v>2</v>
      </c>
      <c r="M755" s="108"/>
      <c r="N755" s="108"/>
    </row>
    <row r="756" spans="1:14" s="117" customFormat="1" ht="15" x14ac:dyDescent="0.2">
      <c r="A756" s="103">
        <f t="shared" si="180"/>
        <v>693</v>
      </c>
      <c r="B756" s="103"/>
      <c r="C756" s="112"/>
      <c r="D756" s="105" t="s">
        <v>915</v>
      </c>
      <c r="E756" s="124" t="s">
        <v>916</v>
      </c>
      <c r="F756" s="124"/>
      <c r="G756" s="107">
        <v>85</v>
      </c>
      <c r="H756" s="107">
        <v>92</v>
      </c>
      <c r="I756" s="125">
        <v>8</v>
      </c>
      <c r="J756" s="125" t="s">
        <v>106</v>
      </c>
      <c r="K756" s="110"/>
      <c r="L756" s="125"/>
      <c r="M756" s="108"/>
      <c r="N756" s="108" t="s">
        <v>917</v>
      </c>
    </row>
    <row r="757" spans="1:14" s="117" customFormat="1" ht="15" x14ac:dyDescent="0.2">
      <c r="A757" s="103">
        <f t="shared" si="180"/>
        <v>694</v>
      </c>
      <c r="B757" s="103"/>
      <c r="C757" s="112"/>
      <c r="D757" s="105" t="s">
        <v>918</v>
      </c>
      <c r="E757" s="124" t="s">
        <v>919</v>
      </c>
      <c r="F757" s="124"/>
      <c r="G757" s="107">
        <v>93</v>
      </c>
      <c r="H757" s="107">
        <v>107</v>
      </c>
      <c r="I757" s="125">
        <v>15</v>
      </c>
      <c r="J757" s="125" t="s">
        <v>18</v>
      </c>
      <c r="K757" s="110"/>
      <c r="L757" s="125">
        <v>2</v>
      </c>
      <c r="M757" s="108"/>
      <c r="N757" s="108"/>
    </row>
    <row r="758" spans="1:14" s="117" customFormat="1" ht="15" x14ac:dyDescent="0.2">
      <c r="A758" s="103">
        <f t="shared" si="180"/>
        <v>695</v>
      </c>
      <c r="B758" s="103"/>
      <c r="C758" s="112"/>
      <c r="D758" s="105" t="s">
        <v>920</v>
      </c>
      <c r="E758" s="124" t="s">
        <v>921</v>
      </c>
      <c r="F758" s="124"/>
      <c r="G758" s="107">
        <v>108</v>
      </c>
      <c r="H758" s="107">
        <v>122</v>
      </c>
      <c r="I758" s="125">
        <v>15</v>
      </c>
      <c r="J758" s="125" t="s">
        <v>18</v>
      </c>
      <c r="K758" s="110"/>
      <c r="L758" s="125">
        <v>2</v>
      </c>
      <c r="M758" s="108"/>
      <c r="N758" s="108" t="s">
        <v>922</v>
      </c>
    </row>
    <row r="759" spans="1:14" s="117" customFormat="1" ht="15" x14ac:dyDescent="0.2">
      <c r="A759" s="103">
        <f t="shared" si="180"/>
        <v>696</v>
      </c>
      <c r="B759" s="103"/>
      <c r="C759" s="112"/>
      <c r="D759" s="105" t="s">
        <v>923</v>
      </c>
      <c r="E759" s="124" t="s">
        <v>924</v>
      </c>
      <c r="F759" s="124"/>
      <c r="G759" s="107">
        <v>123</v>
      </c>
      <c r="H759" s="107">
        <v>137</v>
      </c>
      <c r="I759" s="125">
        <v>15</v>
      </c>
      <c r="J759" s="125" t="s">
        <v>18</v>
      </c>
      <c r="K759" s="110"/>
      <c r="L759" s="125">
        <v>2</v>
      </c>
      <c r="M759" s="108"/>
      <c r="N759" s="108" t="s">
        <v>922</v>
      </c>
    </row>
    <row r="760" spans="1:14" s="117" customFormat="1" ht="15" x14ac:dyDescent="0.2">
      <c r="A760" s="103">
        <f t="shared" si="180"/>
        <v>697</v>
      </c>
      <c r="B760" s="103"/>
      <c r="C760" s="112"/>
      <c r="D760" s="105" t="s">
        <v>925</v>
      </c>
      <c r="E760" s="124" t="s">
        <v>926</v>
      </c>
      <c r="F760" s="124"/>
      <c r="G760" s="107">
        <v>138</v>
      </c>
      <c r="H760" s="107">
        <v>152</v>
      </c>
      <c r="I760" s="125">
        <v>15</v>
      </c>
      <c r="J760" s="125" t="s">
        <v>18</v>
      </c>
      <c r="K760" s="110"/>
      <c r="L760" s="125">
        <v>2</v>
      </c>
      <c r="M760" s="108"/>
      <c r="N760" s="108" t="s">
        <v>922</v>
      </c>
    </row>
    <row r="761" spans="1:14" s="117" customFormat="1" ht="15" x14ac:dyDescent="0.2">
      <c r="A761" s="103">
        <f t="shared" si="180"/>
        <v>698</v>
      </c>
      <c r="B761" s="103"/>
      <c r="C761" s="112"/>
      <c r="D761" s="105" t="s">
        <v>927</v>
      </c>
      <c r="E761" s="124" t="s">
        <v>928</v>
      </c>
      <c r="F761" s="124"/>
      <c r="G761" s="107">
        <v>153</v>
      </c>
      <c r="H761" s="107">
        <v>167</v>
      </c>
      <c r="I761" s="125">
        <v>15</v>
      </c>
      <c r="J761" s="125" t="s">
        <v>18</v>
      </c>
      <c r="K761" s="110"/>
      <c r="L761" s="125">
        <v>2</v>
      </c>
      <c r="M761" s="108"/>
      <c r="N761" s="108" t="s">
        <v>922</v>
      </c>
    </row>
    <row r="762" spans="1:14" ht="15" x14ac:dyDescent="0.2">
      <c r="A762" s="103">
        <f t="shared" si="180"/>
        <v>699</v>
      </c>
      <c r="B762" s="103"/>
      <c r="C762" s="112"/>
      <c r="D762" s="105" t="s">
        <v>929</v>
      </c>
      <c r="E762" s="124" t="s">
        <v>930</v>
      </c>
      <c r="F762" s="124"/>
      <c r="G762" s="107">
        <v>168</v>
      </c>
      <c r="H762" s="107">
        <v>169</v>
      </c>
      <c r="I762" s="125">
        <v>2</v>
      </c>
      <c r="J762" s="125" t="s">
        <v>18</v>
      </c>
      <c r="K762" s="110"/>
      <c r="L762" s="125"/>
      <c r="M762" s="108"/>
      <c r="N762" s="108"/>
    </row>
    <row r="763" spans="1:14" ht="15" x14ac:dyDescent="0.2">
      <c r="A763" s="288">
        <f t="shared" ref="A763:A832" si="188">A762+1</f>
        <v>700</v>
      </c>
      <c r="B763" s="292"/>
      <c r="C763" s="293"/>
      <c r="D763" s="294" t="s">
        <v>28</v>
      </c>
      <c r="E763" s="289" t="s">
        <v>14</v>
      </c>
      <c r="F763" s="289"/>
      <c r="G763" s="290">
        <v>170</v>
      </c>
      <c r="H763" s="290">
        <v>600</v>
      </c>
      <c r="I763" s="290">
        <f>H763-G763</f>
        <v>430</v>
      </c>
      <c r="J763" s="290" t="s">
        <v>15</v>
      </c>
      <c r="K763" s="289"/>
      <c r="L763" s="290"/>
      <c r="M763" s="291"/>
      <c r="N763" s="295" t="s">
        <v>29</v>
      </c>
    </row>
    <row r="764" spans="1:14" ht="14.45" customHeight="1" x14ac:dyDescent="0.2">
      <c r="A764" s="324"/>
      <c r="B764" s="325"/>
      <c r="C764" s="325"/>
      <c r="D764" s="325"/>
      <c r="E764" s="325"/>
      <c r="F764" s="325"/>
      <c r="G764" s="325"/>
      <c r="H764" s="325"/>
      <c r="I764" s="325"/>
      <c r="J764" s="325"/>
      <c r="K764" s="325"/>
      <c r="L764" s="325"/>
      <c r="M764" s="325"/>
      <c r="N764" s="326"/>
    </row>
    <row r="765" spans="1:14" ht="13.5" customHeight="1" x14ac:dyDescent="0.2">
      <c r="A765" s="103">
        <f>A763+1</f>
        <v>701</v>
      </c>
      <c r="B765" s="103"/>
      <c r="C765" s="163" t="s">
        <v>931</v>
      </c>
      <c r="D765" s="164"/>
      <c r="E765" s="106" t="s">
        <v>14</v>
      </c>
      <c r="F765" s="106"/>
      <c r="G765" s="107">
        <f>$H$16+1</f>
        <v>7</v>
      </c>
      <c r="H765" s="107">
        <f>I765+$H$16</f>
        <v>9</v>
      </c>
      <c r="I765" s="107">
        <v>3</v>
      </c>
      <c r="J765" s="107" t="s">
        <v>18</v>
      </c>
      <c r="K765" s="106"/>
      <c r="L765" s="107"/>
      <c r="M765" s="108"/>
      <c r="N765" s="164" t="s">
        <v>932</v>
      </c>
    </row>
    <row r="766" spans="1:14" ht="15" x14ac:dyDescent="0.2">
      <c r="A766" s="103">
        <f t="shared" si="188"/>
        <v>702</v>
      </c>
      <c r="B766" s="103"/>
      <c r="C766" s="112"/>
      <c r="D766" s="105" t="s">
        <v>933</v>
      </c>
      <c r="E766" s="124">
        <v>349</v>
      </c>
      <c r="F766" s="124"/>
      <c r="G766" s="107">
        <f t="shared" ref="G766:G772" si="189">H765+1</f>
        <v>10</v>
      </c>
      <c r="H766" s="107">
        <f t="shared" ref="H766:H772" si="190">H765+I766</f>
        <v>24</v>
      </c>
      <c r="I766" s="125">
        <v>15</v>
      </c>
      <c r="J766" s="125" t="s">
        <v>18</v>
      </c>
      <c r="K766" s="110"/>
      <c r="L766" s="125">
        <v>2</v>
      </c>
      <c r="M766" s="108"/>
      <c r="N766" s="108"/>
    </row>
    <row r="767" spans="1:14" ht="63.75" x14ac:dyDescent="0.2">
      <c r="A767" s="103">
        <f t="shared" si="188"/>
        <v>703</v>
      </c>
      <c r="B767" s="103"/>
      <c r="C767" s="112"/>
      <c r="D767" s="105" t="s">
        <v>934</v>
      </c>
      <c r="E767" s="124">
        <v>350</v>
      </c>
      <c r="F767" s="124"/>
      <c r="G767" s="107">
        <f t="shared" si="189"/>
        <v>25</v>
      </c>
      <c r="H767" s="107">
        <f t="shared" si="190"/>
        <v>39</v>
      </c>
      <c r="I767" s="125">
        <v>15</v>
      </c>
      <c r="J767" s="125" t="s">
        <v>18</v>
      </c>
      <c r="K767" s="110"/>
      <c r="L767" s="125">
        <v>2</v>
      </c>
      <c r="M767" s="108"/>
      <c r="N767" s="108" t="s">
        <v>935</v>
      </c>
    </row>
    <row r="768" spans="1:14" ht="15" x14ac:dyDescent="0.2">
      <c r="A768" s="103">
        <f t="shared" si="188"/>
        <v>704</v>
      </c>
      <c r="B768" s="103"/>
      <c r="C768" s="112"/>
      <c r="D768" s="105" t="s">
        <v>936</v>
      </c>
      <c r="E768" s="124">
        <v>351</v>
      </c>
      <c r="F768" s="124"/>
      <c r="G768" s="107">
        <f t="shared" si="189"/>
        <v>40</v>
      </c>
      <c r="H768" s="107">
        <f t="shared" si="190"/>
        <v>54</v>
      </c>
      <c r="I768" s="125">
        <v>15</v>
      </c>
      <c r="J768" s="125" t="s">
        <v>18</v>
      </c>
      <c r="K768" s="110"/>
      <c r="L768" s="125">
        <v>2</v>
      </c>
      <c r="M768" s="108"/>
      <c r="N768" s="108"/>
    </row>
    <row r="769" spans="1:14" ht="15" x14ac:dyDescent="0.2">
      <c r="A769" s="103">
        <f t="shared" si="188"/>
        <v>705</v>
      </c>
      <c r="B769" s="103"/>
      <c r="C769" s="112"/>
      <c r="D769" s="105" t="s">
        <v>937</v>
      </c>
      <c r="E769" s="124">
        <v>352</v>
      </c>
      <c r="F769" s="124"/>
      <c r="G769" s="107">
        <f t="shared" si="189"/>
        <v>55</v>
      </c>
      <c r="H769" s="107">
        <f t="shared" si="190"/>
        <v>69</v>
      </c>
      <c r="I769" s="125">
        <v>15</v>
      </c>
      <c r="J769" s="125" t="s">
        <v>18</v>
      </c>
      <c r="K769" s="110"/>
      <c r="L769" s="125">
        <v>2</v>
      </c>
      <c r="M769" s="108"/>
      <c r="N769" s="108"/>
    </row>
    <row r="770" spans="1:14" ht="15" x14ac:dyDescent="0.2">
      <c r="A770" s="103">
        <f t="shared" si="188"/>
        <v>706</v>
      </c>
      <c r="B770" s="103"/>
      <c r="C770" s="112"/>
      <c r="D770" s="105" t="s">
        <v>938</v>
      </c>
      <c r="E770" s="124">
        <v>353</v>
      </c>
      <c r="F770" s="124"/>
      <c r="G770" s="107">
        <f t="shared" si="189"/>
        <v>70</v>
      </c>
      <c r="H770" s="107">
        <f t="shared" si="190"/>
        <v>84</v>
      </c>
      <c r="I770" s="125">
        <v>15</v>
      </c>
      <c r="J770" s="125" t="s">
        <v>18</v>
      </c>
      <c r="K770" s="110"/>
      <c r="L770" s="125">
        <v>2</v>
      </c>
      <c r="M770" s="108"/>
      <c r="N770" s="108"/>
    </row>
    <row r="771" spans="1:14" ht="15" x14ac:dyDescent="0.2">
      <c r="A771" s="103">
        <f t="shared" si="188"/>
        <v>707</v>
      </c>
      <c r="B771" s="103"/>
      <c r="C771" s="112"/>
      <c r="D771" s="105" t="s">
        <v>939</v>
      </c>
      <c r="E771" s="124">
        <v>354</v>
      </c>
      <c r="F771" s="124"/>
      <c r="G771" s="107">
        <f t="shared" si="189"/>
        <v>85</v>
      </c>
      <c r="H771" s="107">
        <f t="shared" si="190"/>
        <v>99</v>
      </c>
      <c r="I771" s="125">
        <v>15</v>
      </c>
      <c r="J771" s="125" t="s">
        <v>18</v>
      </c>
      <c r="K771" s="110"/>
      <c r="L771" s="125">
        <v>2</v>
      </c>
      <c r="M771" s="108"/>
      <c r="N771" s="108"/>
    </row>
    <row r="772" spans="1:14" ht="15" x14ac:dyDescent="0.2">
      <c r="A772" s="103">
        <f t="shared" si="188"/>
        <v>708</v>
      </c>
      <c r="B772" s="103"/>
      <c r="C772" s="112"/>
      <c r="D772" s="105" t="s">
        <v>940</v>
      </c>
      <c r="E772" s="124">
        <v>355</v>
      </c>
      <c r="F772" s="124"/>
      <c r="G772" s="107">
        <f t="shared" si="189"/>
        <v>100</v>
      </c>
      <c r="H772" s="107">
        <f t="shared" si="190"/>
        <v>114</v>
      </c>
      <c r="I772" s="125">
        <v>15</v>
      </c>
      <c r="J772" s="125" t="s">
        <v>18</v>
      </c>
      <c r="K772" s="110"/>
      <c r="L772" s="125">
        <v>2</v>
      </c>
      <c r="M772" s="108"/>
      <c r="N772" s="108"/>
    </row>
    <row r="773" spans="1:14" ht="15" x14ac:dyDescent="0.2">
      <c r="A773" s="288">
        <f t="shared" si="188"/>
        <v>709</v>
      </c>
      <c r="B773" s="292"/>
      <c r="C773" s="293"/>
      <c r="D773" s="294" t="s">
        <v>28</v>
      </c>
      <c r="E773" s="289" t="s">
        <v>14</v>
      </c>
      <c r="F773" s="289"/>
      <c r="G773" s="290">
        <f>H772+1</f>
        <v>115</v>
      </c>
      <c r="H773" s="290">
        <v>600</v>
      </c>
      <c r="I773" s="290">
        <f>H773-H772</f>
        <v>486</v>
      </c>
      <c r="J773" s="290" t="s">
        <v>15</v>
      </c>
      <c r="K773" s="289"/>
      <c r="L773" s="290"/>
      <c r="M773" s="291"/>
      <c r="N773" s="295" t="s">
        <v>29</v>
      </c>
    </row>
    <row r="774" spans="1:14" ht="14.45" customHeight="1" x14ac:dyDescent="0.2">
      <c r="A774" s="324"/>
      <c r="B774" s="325"/>
      <c r="C774" s="325"/>
      <c r="D774" s="325"/>
      <c r="E774" s="325"/>
      <c r="F774" s="325"/>
      <c r="G774" s="325"/>
      <c r="H774" s="325"/>
      <c r="I774" s="325"/>
      <c r="J774" s="325"/>
      <c r="K774" s="325"/>
      <c r="L774" s="325"/>
      <c r="M774" s="325"/>
      <c r="N774" s="326"/>
    </row>
    <row r="775" spans="1:14" x14ac:dyDescent="0.2">
      <c r="A775" s="103">
        <f>A773+1</f>
        <v>710</v>
      </c>
      <c r="B775" s="103"/>
      <c r="C775" s="163" t="s">
        <v>941</v>
      </c>
      <c r="D775" s="164"/>
      <c r="E775" s="106" t="s">
        <v>14</v>
      </c>
      <c r="F775" s="106"/>
      <c r="G775" s="107">
        <f>$H$16+1</f>
        <v>7</v>
      </c>
      <c r="H775" s="107">
        <f>I775+$H$16</f>
        <v>9</v>
      </c>
      <c r="I775" s="107">
        <v>3</v>
      </c>
      <c r="J775" s="107" t="s">
        <v>18</v>
      </c>
      <c r="K775" s="106"/>
      <c r="L775" s="107"/>
      <c r="M775" s="108"/>
      <c r="N775" s="164" t="s">
        <v>942</v>
      </c>
    </row>
    <row r="776" spans="1:14" ht="76.5" x14ac:dyDescent="0.2">
      <c r="A776" s="103">
        <f t="shared" si="188"/>
        <v>711</v>
      </c>
      <c r="B776" s="103"/>
      <c r="C776" s="112"/>
      <c r="D776" s="105" t="s">
        <v>943</v>
      </c>
      <c r="E776" s="110">
        <v>357</v>
      </c>
      <c r="F776" s="110"/>
      <c r="G776" s="107">
        <f t="shared" ref="G776:G783" si="191">H775+1</f>
        <v>10</v>
      </c>
      <c r="H776" s="107">
        <f t="shared" ref="H776:H783" si="192">H775+I776</f>
        <v>10</v>
      </c>
      <c r="I776" s="111">
        <v>1</v>
      </c>
      <c r="J776" s="111" t="s">
        <v>18</v>
      </c>
      <c r="K776" s="124"/>
      <c r="L776" s="125"/>
      <c r="M776" s="108"/>
      <c r="N776" s="102" t="s">
        <v>944</v>
      </c>
    </row>
    <row r="777" spans="1:14" ht="15" x14ac:dyDescent="0.2">
      <c r="A777" s="103">
        <f t="shared" si="188"/>
        <v>712</v>
      </c>
      <c r="B777" s="103"/>
      <c r="C777" s="112"/>
      <c r="D777" s="105" t="s">
        <v>945</v>
      </c>
      <c r="E777" s="110">
        <v>359</v>
      </c>
      <c r="F777" s="110"/>
      <c r="G777" s="107">
        <f t="shared" si="191"/>
        <v>11</v>
      </c>
      <c r="H777" s="107">
        <f t="shared" si="192"/>
        <v>24</v>
      </c>
      <c r="I777" s="111">
        <v>14</v>
      </c>
      <c r="J777" s="111" t="s">
        <v>15</v>
      </c>
      <c r="K777" s="124"/>
      <c r="L777" s="125"/>
      <c r="M777" s="108"/>
      <c r="N777" s="108"/>
    </row>
    <row r="778" spans="1:14" ht="15" x14ac:dyDescent="0.2">
      <c r="A778" s="103">
        <f t="shared" si="188"/>
        <v>713</v>
      </c>
      <c r="B778" s="103"/>
      <c r="C778" s="112"/>
      <c r="D778" s="105" t="s">
        <v>946</v>
      </c>
      <c r="E778" s="110">
        <v>360</v>
      </c>
      <c r="F778" s="110"/>
      <c r="G778" s="107">
        <f t="shared" si="191"/>
        <v>25</v>
      </c>
      <c r="H778" s="107">
        <f t="shared" si="192"/>
        <v>35</v>
      </c>
      <c r="I778" s="111">
        <v>11</v>
      </c>
      <c r="J778" s="111" t="s">
        <v>15</v>
      </c>
      <c r="K778" s="124"/>
      <c r="L778" s="125"/>
      <c r="M778" s="108"/>
      <c r="N778" s="108"/>
    </row>
    <row r="779" spans="1:14" ht="15" x14ac:dyDescent="0.2">
      <c r="A779" s="103">
        <f t="shared" si="188"/>
        <v>714</v>
      </c>
      <c r="B779" s="103"/>
      <c r="C779" s="112"/>
      <c r="D779" s="105" t="s">
        <v>947</v>
      </c>
      <c r="E779" s="110">
        <v>361</v>
      </c>
      <c r="F779" s="110"/>
      <c r="G779" s="107">
        <f t="shared" si="191"/>
        <v>36</v>
      </c>
      <c r="H779" s="107">
        <f t="shared" si="192"/>
        <v>95</v>
      </c>
      <c r="I779" s="111">
        <v>60</v>
      </c>
      <c r="J779" s="111" t="s">
        <v>15</v>
      </c>
      <c r="K779" s="124"/>
      <c r="L779" s="125"/>
      <c r="M779" s="108"/>
      <c r="N779" s="108"/>
    </row>
    <row r="780" spans="1:14" ht="63.75" x14ac:dyDescent="0.2">
      <c r="A780" s="103">
        <f t="shared" si="188"/>
        <v>715</v>
      </c>
      <c r="B780" s="103"/>
      <c r="C780" s="112"/>
      <c r="D780" s="105" t="s">
        <v>180</v>
      </c>
      <c r="E780" s="110">
        <v>362</v>
      </c>
      <c r="F780" s="110"/>
      <c r="G780" s="107">
        <f t="shared" si="191"/>
        <v>96</v>
      </c>
      <c r="H780" s="107">
        <f t="shared" si="192"/>
        <v>109</v>
      </c>
      <c r="I780" s="111">
        <v>14</v>
      </c>
      <c r="J780" s="111" t="s">
        <v>15</v>
      </c>
      <c r="K780" s="124"/>
      <c r="L780" s="125"/>
      <c r="M780" s="108"/>
      <c r="N780" s="108" t="s">
        <v>948</v>
      </c>
    </row>
    <row r="781" spans="1:14" ht="15" x14ac:dyDescent="0.2">
      <c r="A781" s="103">
        <f t="shared" si="188"/>
        <v>716</v>
      </c>
      <c r="B781" s="103"/>
      <c r="C781" s="112"/>
      <c r="D781" s="105" t="s">
        <v>949</v>
      </c>
      <c r="E781" s="110">
        <v>363</v>
      </c>
      <c r="F781" s="110"/>
      <c r="G781" s="107">
        <f t="shared" si="191"/>
        <v>110</v>
      </c>
      <c r="H781" s="107">
        <f t="shared" si="192"/>
        <v>169</v>
      </c>
      <c r="I781" s="111">
        <v>60</v>
      </c>
      <c r="J781" s="111" t="s">
        <v>15</v>
      </c>
      <c r="K781" s="124"/>
      <c r="L781" s="125"/>
      <c r="M781" s="108"/>
      <c r="N781" s="108"/>
    </row>
    <row r="782" spans="1:14" ht="15" x14ac:dyDescent="0.2">
      <c r="A782" s="103">
        <f t="shared" si="188"/>
        <v>717</v>
      </c>
      <c r="B782" s="103"/>
      <c r="C782" s="112"/>
      <c r="D782" s="105" t="s">
        <v>170</v>
      </c>
      <c r="E782" s="110">
        <v>364</v>
      </c>
      <c r="F782" s="110"/>
      <c r="G782" s="107">
        <f t="shared" si="191"/>
        <v>170</v>
      </c>
      <c r="H782" s="107">
        <f t="shared" si="192"/>
        <v>229</v>
      </c>
      <c r="I782" s="111">
        <v>60</v>
      </c>
      <c r="J782" s="111" t="s">
        <v>15</v>
      </c>
      <c r="K782" s="124"/>
      <c r="L782" s="125"/>
      <c r="M782" s="108"/>
      <c r="N782" s="108"/>
    </row>
    <row r="783" spans="1:14" ht="15" x14ac:dyDescent="0.2">
      <c r="A783" s="103">
        <f t="shared" si="188"/>
        <v>718</v>
      </c>
      <c r="B783" s="103"/>
      <c r="C783" s="112"/>
      <c r="D783" s="105" t="s">
        <v>172</v>
      </c>
      <c r="E783" s="110">
        <v>365</v>
      </c>
      <c r="F783" s="110"/>
      <c r="G783" s="107">
        <f t="shared" si="191"/>
        <v>230</v>
      </c>
      <c r="H783" s="107">
        <f t="shared" si="192"/>
        <v>231</v>
      </c>
      <c r="I783" s="111">
        <v>2</v>
      </c>
      <c r="J783" s="111" t="s">
        <v>15</v>
      </c>
      <c r="K783" s="124"/>
      <c r="L783" s="125"/>
      <c r="M783" s="108"/>
      <c r="N783" s="108" t="s">
        <v>950</v>
      </c>
    </row>
    <row r="784" spans="1:14" ht="15" x14ac:dyDescent="0.2">
      <c r="A784" s="288">
        <f t="shared" si="188"/>
        <v>719</v>
      </c>
      <c r="B784" s="292"/>
      <c r="C784" s="293"/>
      <c r="D784" s="294" t="s">
        <v>28</v>
      </c>
      <c r="E784" s="289" t="s">
        <v>14</v>
      </c>
      <c r="F784" s="289"/>
      <c r="G784" s="290">
        <f>H783+1</f>
        <v>232</v>
      </c>
      <c r="H784" s="290">
        <v>600</v>
      </c>
      <c r="I784" s="290">
        <f>H784-H783</f>
        <v>369</v>
      </c>
      <c r="J784" s="290" t="s">
        <v>15</v>
      </c>
      <c r="K784" s="289"/>
      <c r="L784" s="290"/>
      <c r="M784" s="291"/>
      <c r="N784" s="295" t="s">
        <v>29</v>
      </c>
    </row>
    <row r="785" spans="1:14" ht="14.45" customHeight="1" x14ac:dyDescent="0.2">
      <c r="A785" s="324"/>
      <c r="B785" s="325"/>
      <c r="C785" s="325"/>
      <c r="D785" s="325"/>
      <c r="E785" s="325"/>
      <c r="F785" s="325"/>
      <c r="G785" s="325"/>
      <c r="H785" s="325"/>
      <c r="I785" s="325"/>
      <c r="J785" s="325"/>
      <c r="K785" s="325"/>
      <c r="L785" s="325"/>
      <c r="M785" s="325"/>
      <c r="N785" s="326"/>
    </row>
    <row r="786" spans="1:14" x14ac:dyDescent="0.2">
      <c r="A786" s="103">
        <f>A784+1</f>
        <v>720</v>
      </c>
      <c r="B786" s="103"/>
      <c r="C786" s="163" t="s">
        <v>951</v>
      </c>
      <c r="D786" s="164"/>
      <c r="E786" s="106" t="s">
        <v>14</v>
      </c>
      <c r="F786" s="106"/>
      <c r="G786" s="107">
        <f>$H$16+1</f>
        <v>7</v>
      </c>
      <c r="H786" s="107">
        <f>I786+$H$16</f>
        <v>9</v>
      </c>
      <c r="I786" s="107">
        <v>3</v>
      </c>
      <c r="J786" s="107" t="s">
        <v>18</v>
      </c>
      <c r="K786" s="106"/>
      <c r="L786" s="107"/>
      <c r="M786" s="108"/>
      <c r="N786" s="164" t="s">
        <v>952</v>
      </c>
    </row>
    <row r="787" spans="1:14" ht="15" x14ac:dyDescent="0.2">
      <c r="A787" s="103">
        <f t="shared" si="188"/>
        <v>721</v>
      </c>
      <c r="B787" s="103"/>
      <c r="C787" s="112"/>
      <c r="D787" s="105" t="s">
        <v>953</v>
      </c>
      <c r="E787" s="124">
        <v>367</v>
      </c>
      <c r="F787" s="124"/>
      <c r="G787" s="107">
        <f t="shared" ref="G787:G792" si="193">H786+1</f>
        <v>10</v>
      </c>
      <c r="H787" s="107">
        <f t="shared" ref="H787:H792" si="194">H786+I787</f>
        <v>24</v>
      </c>
      <c r="I787" s="111">
        <v>15</v>
      </c>
      <c r="J787" s="111" t="s">
        <v>18</v>
      </c>
      <c r="K787" s="124"/>
      <c r="L787" s="111">
        <v>2</v>
      </c>
      <c r="M787" s="108"/>
      <c r="N787" s="108"/>
    </row>
    <row r="788" spans="1:14" ht="15" x14ac:dyDescent="0.2">
      <c r="A788" s="103">
        <f t="shared" si="188"/>
        <v>722</v>
      </c>
      <c r="B788" s="103"/>
      <c r="C788" s="112"/>
      <c r="D788" s="105" t="s">
        <v>954</v>
      </c>
      <c r="E788" s="124">
        <v>368</v>
      </c>
      <c r="F788" s="124"/>
      <c r="G788" s="107">
        <f t="shared" si="193"/>
        <v>25</v>
      </c>
      <c r="H788" s="107">
        <f t="shared" si="194"/>
        <v>39</v>
      </c>
      <c r="I788" s="111">
        <v>15</v>
      </c>
      <c r="J788" s="111" t="s">
        <v>18</v>
      </c>
      <c r="K788" s="124"/>
      <c r="L788" s="111">
        <v>2</v>
      </c>
      <c r="M788" s="108"/>
      <c r="N788" s="108"/>
    </row>
    <row r="789" spans="1:14" ht="15" x14ac:dyDescent="0.2">
      <c r="A789" s="103">
        <f t="shared" si="188"/>
        <v>723</v>
      </c>
      <c r="B789" s="103"/>
      <c r="C789" s="112"/>
      <c r="D789" s="105" t="s">
        <v>955</v>
      </c>
      <c r="E789" s="124">
        <v>369</v>
      </c>
      <c r="F789" s="124"/>
      <c r="G789" s="107">
        <f t="shared" si="193"/>
        <v>40</v>
      </c>
      <c r="H789" s="107">
        <f t="shared" si="194"/>
        <v>44</v>
      </c>
      <c r="I789" s="111">
        <v>5</v>
      </c>
      <c r="J789" s="111" t="s">
        <v>18</v>
      </c>
      <c r="K789" s="124"/>
      <c r="L789" s="124" t="s">
        <v>490</v>
      </c>
      <c r="M789" s="108"/>
      <c r="N789" s="108"/>
    </row>
    <row r="790" spans="1:14" ht="15" x14ac:dyDescent="0.2">
      <c r="A790" s="103">
        <f t="shared" si="188"/>
        <v>724</v>
      </c>
      <c r="B790" s="103"/>
      <c r="C790" s="112"/>
      <c r="D790" s="105" t="s">
        <v>956</v>
      </c>
      <c r="E790" s="124">
        <v>370</v>
      </c>
      <c r="F790" s="124"/>
      <c r="G790" s="107">
        <f t="shared" si="193"/>
        <v>45</v>
      </c>
      <c r="H790" s="107">
        <f t="shared" si="194"/>
        <v>59</v>
      </c>
      <c r="I790" s="111">
        <v>15</v>
      </c>
      <c r="J790" s="111" t="s">
        <v>18</v>
      </c>
      <c r="K790" s="124"/>
      <c r="L790" s="111">
        <v>2</v>
      </c>
      <c r="M790" s="108"/>
      <c r="N790" s="108"/>
    </row>
    <row r="791" spans="1:14" ht="15" x14ac:dyDescent="0.2">
      <c r="A791" s="103">
        <f t="shared" si="188"/>
        <v>725</v>
      </c>
      <c r="B791" s="103"/>
      <c r="C791" s="112"/>
      <c r="D791" s="105" t="s">
        <v>957</v>
      </c>
      <c r="E791" s="124">
        <v>371</v>
      </c>
      <c r="F791" s="124"/>
      <c r="G791" s="107">
        <f t="shared" si="193"/>
        <v>60</v>
      </c>
      <c r="H791" s="107">
        <f t="shared" si="194"/>
        <v>63</v>
      </c>
      <c r="I791" s="111">
        <v>4</v>
      </c>
      <c r="J791" s="111" t="s">
        <v>18</v>
      </c>
      <c r="K791" s="124"/>
      <c r="L791" s="111"/>
      <c r="M791" s="108"/>
      <c r="N791" s="108" t="s">
        <v>958</v>
      </c>
    </row>
    <row r="792" spans="1:14" ht="15" x14ac:dyDescent="0.2">
      <c r="A792" s="103">
        <f t="shared" si="188"/>
        <v>726</v>
      </c>
      <c r="B792" s="103"/>
      <c r="C792" s="112"/>
      <c r="D792" s="105" t="s">
        <v>113</v>
      </c>
      <c r="E792" s="124">
        <v>372</v>
      </c>
      <c r="F792" s="124"/>
      <c r="G792" s="107">
        <f t="shared" si="193"/>
        <v>64</v>
      </c>
      <c r="H792" s="107">
        <f t="shared" si="194"/>
        <v>70</v>
      </c>
      <c r="I792" s="111">
        <v>7</v>
      </c>
      <c r="J792" s="111" t="s">
        <v>18</v>
      </c>
      <c r="K792" s="124"/>
      <c r="L792" s="111"/>
      <c r="M792" s="108"/>
      <c r="N792" s="108" t="s">
        <v>959</v>
      </c>
    </row>
    <row r="793" spans="1:14" ht="15" x14ac:dyDescent="0.2">
      <c r="A793" s="288">
        <f t="shared" si="188"/>
        <v>727</v>
      </c>
      <c r="B793" s="292"/>
      <c r="C793" s="293"/>
      <c r="D793" s="294" t="s">
        <v>28</v>
      </c>
      <c r="E793" s="289" t="s">
        <v>14</v>
      </c>
      <c r="F793" s="289"/>
      <c r="G793" s="290">
        <f>H792+1</f>
        <v>71</v>
      </c>
      <c r="H793" s="290">
        <v>600</v>
      </c>
      <c r="I793" s="290">
        <f>H793-H792</f>
        <v>530</v>
      </c>
      <c r="J793" s="290" t="s">
        <v>15</v>
      </c>
      <c r="K793" s="289"/>
      <c r="L793" s="290"/>
      <c r="M793" s="291"/>
      <c r="N793" s="295" t="s">
        <v>29</v>
      </c>
    </row>
    <row r="794" spans="1:14" ht="14.45" customHeight="1" x14ac:dyDescent="0.2">
      <c r="A794" s="324"/>
      <c r="B794" s="325"/>
      <c r="C794" s="325"/>
      <c r="D794" s="325"/>
      <c r="E794" s="325"/>
      <c r="F794" s="325"/>
      <c r="G794" s="325"/>
      <c r="H794" s="325"/>
      <c r="I794" s="325"/>
      <c r="J794" s="325"/>
      <c r="K794" s="325"/>
      <c r="L794" s="325"/>
      <c r="M794" s="325"/>
      <c r="N794" s="326"/>
    </row>
    <row r="795" spans="1:14" x14ac:dyDescent="0.2">
      <c r="A795" s="103">
        <f>A793+1</f>
        <v>728</v>
      </c>
      <c r="B795" s="103"/>
      <c r="C795" s="163" t="s">
        <v>960</v>
      </c>
      <c r="D795" s="164"/>
      <c r="E795" s="106" t="s">
        <v>14</v>
      </c>
      <c r="F795" s="106"/>
      <c r="G795" s="107">
        <f>$H$16+1</f>
        <v>7</v>
      </c>
      <c r="H795" s="107">
        <f>I795+$H$16</f>
        <v>9</v>
      </c>
      <c r="I795" s="107">
        <v>3</v>
      </c>
      <c r="J795" s="107" t="s">
        <v>18</v>
      </c>
      <c r="K795" s="106"/>
      <c r="L795" s="107"/>
      <c r="M795" s="108"/>
      <c r="N795" s="164" t="s">
        <v>961</v>
      </c>
    </row>
    <row r="796" spans="1:14" ht="15" x14ac:dyDescent="0.2">
      <c r="A796" s="103">
        <f t="shared" si="188"/>
        <v>729</v>
      </c>
      <c r="B796" s="103"/>
      <c r="C796" s="112"/>
      <c r="D796" s="105" t="s">
        <v>962</v>
      </c>
      <c r="E796" s="124">
        <v>374</v>
      </c>
      <c r="F796" s="124"/>
      <c r="G796" s="107">
        <f t="shared" ref="G796:G803" si="195">H795+1</f>
        <v>10</v>
      </c>
      <c r="H796" s="107">
        <f t="shared" ref="H796:H801" si="196">H795+I796</f>
        <v>17</v>
      </c>
      <c r="I796" s="111">
        <v>8</v>
      </c>
      <c r="J796" s="111" t="s">
        <v>15</v>
      </c>
      <c r="K796" s="124"/>
      <c r="L796" s="111"/>
      <c r="M796" s="108"/>
      <c r="N796" s="108"/>
    </row>
    <row r="797" spans="1:14" ht="15" x14ac:dyDescent="0.2">
      <c r="A797" s="103">
        <f t="shared" si="188"/>
        <v>730</v>
      </c>
      <c r="B797" s="103"/>
      <c r="C797" s="112"/>
      <c r="D797" s="105" t="s">
        <v>172</v>
      </c>
      <c r="E797" s="124">
        <v>375</v>
      </c>
      <c r="F797" s="124"/>
      <c r="G797" s="107">
        <f t="shared" si="195"/>
        <v>18</v>
      </c>
      <c r="H797" s="107">
        <f t="shared" si="196"/>
        <v>19</v>
      </c>
      <c r="I797" s="111">
        <v>2</v>
      </c>
      <c r="J797" s="111" t="s">
        <v>15</v>
      </c>
      <c r="K797" s="124"/>
      <c r="L797" s="111"/>
      <c r="M797" s="108"/>
      <c r="N797" s="108"/>
    </row>
    <row r="798" spans="1:14" ht="15" x14ac:dyDescent="0.2">
      <c r="A798" s="103">
        <f t="shared" si="188"/>
        <v>731</v>
      </c>
      <c r="B798" s="103"/>
      <c r="C798" s="112"/>
      <c r="D798" s="105" t="s">
        <v>963</v>
      </c>
      <c r="E798" s="124">
        <v>376</v>
      </c>
      <c r="F798" s="124"/>
      <c r="G798" s="107">
        <f t="shared" si="195"/>
        <v>20</v>
      </c>
      <c r="H798" s="107">
        <f t="shared" si="196"/>
        <v>39</v>
      </c>
      <c r="I798" s="111">
        <v>20</v>
      </c>
      <c r="J798" s="111" t="s">
        <v>15</v>
      </c>
      <c r="K798" s="124"/>
      <c r="L798" s="111"/>
      <c r="M798" s="108"/>
      <c r="N798" s="108"/>
    </row>
    <row r="799" spans="1:14" ht="15" x14ac:dyDescent="0.2">
      <c r="A799" s="103">
        <f t="shared" si="188"/>
        <v>732</v>
      </c>
      <c r="B799" s="103"/>
      <c r="C799" s="112"/>
      <c r="D799" s="105" t="s">
        <v>962</v>
      </c>
      <c r="E799" s="124">
        <v>378</v>
      </c>
      <c r="F799" s="124"/>
      <c r="G799" s="107">
        <f t="shared" si="195"/>
        <v>40</v>
      </c>
      <c r="H799" s="107">
        <f t="shared" si="196"/>
        <v>47</v>
      </c>
      <c r="I799" s="111">
        <v>8</v>
      </c>
      <c r="J799" s="111" t="s">
        <v>15</v>
      </c>
      <c r="K799" s="124"/>
      <c r="L799" s="111"/>
      <c r="M799" s="108"/>
      <c r="N799" s="108"/>
    </row>
    <row r="800" spans="1:14" ht="15" x14ac:dyDescent="0.2">
      <c r="A800" s="103">
        <f t="shared" si="188"/>
        <v>733</v>
      </c>
      <c r="B800" s="103"/>
      <c r="C800" s="112"/>
      <c r="D800" s="105" t="s">
        <v>172</v>
      </c>
      <c r="E800" s="124">
        <v>379</v>
      </c>
      <c r="F800" s="124"/>
      <c r="G800" s="107">
        <f t="shared" si="195"/>
        <v>48</v>
      </c>
      <c r="H800" s="107">
        <f t="shared" si="196"/>
        <v>49</v>
      </c>
      <c r="I800" s="111">
        <v>2</v>
      </c>
      <c r="J800" s="111" t="s">
        <v>15</v>
      </c>
      <c r="K800" s="124"/>
      <c r="L800" s="111"/>
      <c r="M800" s="108"/>
      <c r="N800" s="108"/>
    </row>
    <row r="801" spans="1:14" ht="15" x14ac:dyDescent="0.2">
      <c r="A801" s="103">
        <f t="shared" si="188"/>
        <v>734</v>
      </c>
      <c r="B801" s="103"/>
      <c r="C801" s="112"/>
      <c r="D801" s="105" t="s">
        <v>963</v>
      </c>
      <c r="E801" s="124">
        <v>380</v>
      </c>
      <c r="F801" s="124"/>
      <c r="G801" s="107">
        <f t="shared" si="195"/>
        <v>50</v>
      </c>
      <c r="H801" s="107">
        <f t="shared" si="196"/>
        <v>69</v>
      </c>
      <c r="I801" s="111">
        <v>20</v>
      </c>
      <c r="J801" s="111" t="s">
        <v>15</v>
      </c>
      <c r="K801" s="124"/>
      <c r="L801" s="111"/>
      <c r="M801" s="108"/>
      <c r="N801" s="108"/>
    </row>
    <row r="802" spans="1:14" x14ac:dyDescent="0.2">
      <c r="A802" s="103">
        <f t="shared" si="188"/>
        <v>735</v>
      </c>
      <c r="B802" s="103"/>
      <c r="C802" s="112"/>
      <c r="D802" s="112" t="s">
        <v>964</v>
      </c>
      <c r="E802" s="106" t="s">
        <v>965</v>
      </c>
      <c r="F802" s="106"/>
      <c r="G802" s="107">
        <f t="shared" si="195"/>
        <v>70</v>
      </c>
      <c r="H802" s="107">
        <f>H801+I802</f>
        <v>89</v>
      </c>
      <c r="I802" s="107">
        <v>20</v>
      </c>
      <c r="J802" s="107" t="s">
        <v>15</v>
      </c>
      <c r="K802" s="106"/>
      <c r="L802" s="107"/>
      <c r="M802" s="108"/>
      <c r="N802" s="108"/>
    </row>
    <row r="803" spans="1:14" x14ac:dyDescent="0.2">
      <c r="A803" s="103">
        <f t="shared" si="188"/>
        <v>736</v>
      </c>
      <c r="B803" s="103"/>
      <c r="C803" s="112"/>
      <c r="D803" s="112" t="s">
        <v>966</v>
      </c>
      <c r="E803" s="106" t="s">
        <v>967</v>
      </c>
      <c r="F803" s="106"/>
      <c r="G803" s="107">
        <f t="shared" si="195"/>
        <v>90</v>
      </c>
      <c r="H803" s="107">
        <f>H802+I803</f>
        <v>109</v>
      </c>
      <c r="I803" s="107">
        <v>20</v>
      </c>
      <c r="J803" s="107" t="s">
        <v>15</v>
      </c>
      <c r="K803" s="106"/>
      <c r="L803" s="107"/>
      <c r="M803" s="108"/>
      <c r="N803" s="108"/>
    </row>
    <row r="804" spans="1:14" ht="14.25" customHeight="1" x14ac:dyDescent="0.2">
      <c r="A804" s="288">
        <f t="shared" si="188"/>
        <v>737</v>
      </c>
      <c r="B804" s="292"/>
      <c r="C804" s="293"/>
      <c r="D804" s="294" t="s">
        <v>28</v>
      </c>
      <c r="E804" s="289" t="s">
        <v>14</v>
      </c>
      <c r="F804" s="289"/>
      <c r="G804" s="290">
        <f>H803+1</f>
        <v>110</v>
      </c>
      <c r="H804" s="290">
        <v>600</v>
      </c>
      <c r="I804" s="290">
        <f>H804-H803</f>
        <v>491</v>
      </c>
      <c r="J804" s="290" t="s">
        <v>15</v>
      </c>
      <c r="K804" s="289"/>
      <c r="L804" s="290"/>
      <c r="M804" s="291"/>
      <c r="N804" s="295" t="s">
        <v>29</v>
      </c>
    </row>
    <row r="805" spans="1:14" ht="14.45" customHeight="1" x14ac:dyDescent="0.2">
      <c r="A805" s="324"/>
      <c r="B805" s="325"/>
      <c r="C805" s="325"/>
      <c r="D805" s="325"/>
      <c r="E805" s="325"/>
      <c r="F805" s="325"/>
      <c r="G805" s="325"/>
      <c r="H805" s="325"/>
      <c r="I805" s="325"/>
      <c r="J805" s="325"/>
      <c r="K805" s="325"/>
      <c r="L805" s="325"/>
      <c r="M805" s="325"/>
      <c r="N805" s="326"/>
    </row>
    <row r="806" spans="1:14" x14ac:dyDescent="0.2">
      <c r="A806" s="103">
        <f>A804+1</f>
        <v>738</v>
      </c>
      <c r="B806" s="103"/>
      <c r="C806" s="163" t="s">
        <v>968</v>
      </c>
      <c r="D806" s="164"/>
      <c r="E806" s="106" t="s">
        <v>14</v>
      </c>
      <c r="F806" s="106"/>
      <c r="G806" s="107">
        <f>$H$16+1</f>
        <v>7</v>
      </c>
      <c r="H806" s="107">
        <f>I806+$H$16</f>
        <v>9</v>
      </c>
      <c r="I806" s="107">
        <v>3</v>
      </c>
      <c r="J806" s="107" t="s">
        <v>18</v>
      </c>
      <c r="K806" s="106"/>
      <c r="L806" s="107"/>
      <c r="M806" s="108"/>
      <c r="N806" s="164" t="s">
        <v>969</v>
      </c>
    </row>
    <row r="807" spans="1:14" ht="15" x14ac:dyDescent="0.2">
      <c r="A807" s="103">
        <f t="shared" si="188"/>
        <v>739</v>
      </c>
      <c r="B807" s="103"/>
      <c r="C807" s="112"/>
      <c r="D807" s="105" t="s">
        <v>970</v>
      </c>
      <c r="E807" s="124">
        <v>382</v>
      </c>
      <c r="F807" s="124"/>
      <c r="G807" s="107">
        <f t="shared" ref="G807:G813" si="197">H806+1</f>
        <v>10</v>
      </c>
      <c r="H807" s="107">
        <f t="shared" ref="H807:H813" si="198">H806+I807</f>
        <v>24</v>
      </c>
      <c r="I807" s="111">
        <v>15</v>
      </c>
      <c r="J807" s="111" t="s">
        <v>18</v>
      </c>
      <c r="K807" s="124"/>
      <c r="L807" s="111"/>
      <c r="M807" s="108"/>
      <c r="N807" s="108"/>
    </row>
    <row r="808" spans="1:14" ht="15" x14ac:dyDescent="0.2">
      <c r="A808" s="103">
        <f t="shared" si="188"/>
        <v>740</v>
      </c>
      <c r="B808" s="103"/>
      <c r="C808" s="112"/>
      <c r="D808" s="105" t="s">
        <v>971</v>
      </c>
      <c r="E808" s="124">
        <v>383</v>
      </c>
      <c r="F808" s="124"/>
      <c r="G808" s="107">
        <f t="shared" si="197"/>
        <v>25</v>
      </c>
      <c r="H808" s="107">
        <f t="shared" si="198"/>
        <v>84</v>
      </c>
      <c r="I808" s="111">
        <v>60</v>
      </c>
      <c r="J808" s="111" t="s">
        <v>15</v>
      </c>
      <c r="K808" s="124"/>
      <c r="L808" s="111"/>
      <c r="M808" s="108"/>
      <c r="N808" s="108"/>
    </row>
    <row r="809" spans="1:14" ht="15" x14ac:dyDescent="0.2">
      <c r="A809" s="103">
        <f t="shared" si="188"/>
        <v>741</v>
      </c>
      <c r="B809" s="103"/>
      <c r="C809" s="112"/>
      <c r="D809" s="105" t="s">
        <v>972</v>
      </c>
      <c r="E809" s="124">
        <v>384</v>
      </c>
      <c r="F809" s="124"/>
      <c r="G809" s="107">
        <f t="shared" si="197"/>
        <v>85</v>
      </c>
      <c r="H809" s="107">
        <f t="shared" si="198"/>
        <v>144</v>
      </c>
      <c r="I809" s="111">
        <v>60</v>
      </c>
      <c r="J809" s="111" t="s">
        <v>15</v>
      </c>
      <c r="K809" s="124"/>
      <c r="L809" s="111"/>
      <c r="M809" s="108"/>
      <c r="N809" s="108"/>
    </row>
    <row r="810" spans="1:14" ht="15" customHeight="1" x14ac:dyDescent="0.2">
      <c r="A810" s="103">
        <f t="shared" si="188"/>
        <v>742</v>
      </c>
      <c r="B810" s="103"/>
      <c r="C810" s="112"/>
      <c r="D810" s="105" t="s">
        <v>973</v>
      </c>
      <c r="E810" s="124">
        <v>385</v>
      </c>
      <c r="F810" s="124"/>
      <c r="G810" s="107">
        <f t="shared" si="197"/>
        <v>145</v>
      </c>
      <c r="H810" s="107">
        <f t="shared" si="198"/>
        <v>204</v>
      </c>
      <c r="I810" s="111">
        <v>60</v>
      </c>
      <c r="J810" s="111" t="s">
        <v>15</v>
      </c>
      <c r="K810" s="124"/>
      <c r="L810" s="111"/>
      <c r="M810" s="108"/>
      <c r="N810" s="108"/>
    </row>
    <row r="811" spans="1:14" ht="15" x14ac:dyDescent="0.2">
      <c r="A811" s="103">
        <f t="shared" si="188"/>
        <v>743</v>
      </c>
      <c r="B811" s="103"/>
      <c r="C811" s="112"/>
      <c r="D811" s="105" t="s">
        <v>974</v>
      </c>
      <c r="E811" s="124">
        <v>386</v>
      </c>
      <c r="F811" s="124"/>
      <c r="G811" s="107">
        <f t="shared" si="197"/>
        <v>205</v>
      </c>
      <c r="H811" s="107">
        <f t="shared" si="198"/>
        <v>219</v>
      </c>
      <c r="I811" s="111">
        <v>15</v>
      </c>
      <c r="J811" s="111" t="s">
        <v>18</v>
      </c>
      <c r="K811" s="124"/>
      <c r="L811" s="111">
        <v>3</v>
      </c>
      <c r="M811" s="108"/>
      <c r="N811" s="108"/>
    </row>
    <row r="812" spans="1:14" ht="15" x14ac:dyDescent="0.2">
      <c r="A812" s="103">
        <f t="shared" si="188"/>
        <v>744</v>
      </c>
      <c r="B812" s="103"/>
      <c r="C812" s="112"/>
      <c r="D812" s="105" t="s">
        <v>975</v>
      </c>
      <c r="E812" s="124">
        <v>387</v>
      </c>
      <c r="F812" s="124"/>
      <c r="G812" s="107">
        <f t="shared" si="197"/>
        <v>220</v>
      </c>
      <c r="H812" s="107">
        <f t="shared" si="198"/>
        <v>234</v>
      </c>
      <c r="I812" s="111">
        <v>15</v>
      </c>
      <c r="J812" s="111" t="s">
        <v>18</v>
      </c>
      <c r="K812" s="124"/>
      <c r="L812" s="111">
        <v>3</v>
      </c>
      <c r="M812" s="108"/>
      <c r="N812" s="108"/>
    </row>
    <row r="813" spans="1:14" ht="15" x14ac:dyDescent="0.2">
      <c r="A813" s="103">
        <f t="shared" si="188"/>
        <v>745</v>
      </c>
      <c r="B813" s="103"/>
      <c r="C813" s="112"/>
      <c r="D813" s="105" t="s">
        <v>976</v>
      </c>
      <c r="E813" s="124">
        <v>388</v>
      </c>
      <c r="F813" s="124"/>
      <c r="G813" s="107">
        <f t="shared" si="197"/>
        <v>235</v>
      </c>
      <c r="H813" s="107">
        <f t="shared" si="198"/>
        <v>294</v>
      </c>
      <c r="I813" s="111">
        <v>60</v>
      </c>
      <c r="J813" s="111" t="s">
        <v>15</v>
      </c>
      <c r="K813" s="124"/>
      <c r="L813" s="111"/>
      <c r="M813" s="108"/>
      <c r="N813" s="108"/>
    </row>
    <row r="814" spans="1:14" ht="15" x14ac:dyDescent="0.2">
      <c r="A814" s="288">
        <f t="shared" si="188"/>
        <v>746</v>
      </c>
      <c r="B814" s="292"/>
      <c r="C814" s="293"/>
      <c r="D814" s="294" t="s">
        <v>28</v>
      </c>
      <c r="E814" s="289" t="s">
        <v>14</v>
      </c>
      <c r="F814" s="289"/>
      <c r="G814" s="290">
        <f>H813+1</f>
        <v>295</v>
      </c>
      <c r="H814" s="290">
        <v>600</v>
      </c>
      <c r="I814" s="290">
        <f>H814-H813</f>
        <v>306</v>
      </c>
      <c r="J814" s="290" t="s">
        <v>15</v>
      </c>
      <c r="K814" s="289"/>
      <c r="L814" s="290"/>
      <c r="M814" s="291"/>
      <c r="N814" s="295" t="s">
        <v>29</v>
      </c>
    </row>
    <row r="815" spans="1:14" ht="14.45" customHeight="1" x14ac:dyDescent="0.2">
      <c r="A815" s="256"/>
      <c r="B815" s="296"/>
      <c r="C815" s="296"/>
      <c r="D815" s="296"/>
      <c r="E815" s="296"/>
      <c r="F815" s="296"/>
      <c r="G815" s="296"/>
      <c r="H815" s="296"/>
      <c r="I815" s="296"/>
      <c r="J815" s="296"/>
      <c r="K815" s="296"/>
      <c r="L815" s="296"/>
      <c r="M815" s="296"/>
      <c r="N815" s="297"/>
    </row>
    <row r="816" spans="1:14" x14ac:dyDescent="0.2">
      <c r="A816" s="103">
        <v>747</v>
      </c>
      <c r="B816" s="103"/>
      <c r="C816" s="163" t="s">
        <v>977</v>
      </c>
      <c r="D816" s="164"/>
      <c r="E816" s="106"/>
      <c r="F816" s="106"/>
      <c r="G816" s="107"/>
      <c r="H816" s="107"/>
      <c r="I816" s="107"/>
      <c r="J816" s="107"/>
      <c r="K816" s="106"/>
      <c r="L816" s="107"/>
      <c r="M816" s="108"/>
      <c r="N816" s="108"/>
    </row>
    <row r="817" spans="1:14" ht="14.45" customHeight="1" x14ac:dyDescent="0.2">
      <c r="A817" s="256">
        <v>748</v>
      </c>
      <c r="B817" s="296"/>
      <c r="C817" s="296"/>
      <c r="D817" s="296"/>
      <c r="E817" s="296"/>
      <c r="F817" s="296"/>
      <c r="G817" s="296"/>
      <c r="H817" s="296"/>
      <c r="I817" s="296"/>
      <c r="J817" s="296"/>
      <c r="K817" s="296"/>
      <c r="L817" s="296"/>
      <c r="M817" s="296"/>
      <c r="N817" s="297"/>
    </row>
    <row r="818" spans="1:14" x14ac:dyDescent="0.2">
      <c r="A818" s="103">
        <f t="shared" si="188"/>
        <v>749</v>
      </c>
      <c r="B818" s="103"/>
      <c r="C818" s="163" t="s">
        <v>978</v>
      </c>
      <c r="D818" s="164"/>
      <c r="E818" s="106" t="s">
        <v>14</v>
      </c>
      <c r="F818" s="106"/>
      <c r="G818" s="107">
        <f>$H$16+1</f>
        <v>7</v>
      </c>
      <c r="H818" s="107">
        <f>I818+$H$16</f>
        <v>9</v>
      </c>
      <c r="I818" s="107">
        <v>3</v>
      </c>
      <c r="J818" s="107" t="s">
        <v>18</v>
      </c>
      <c r="K818" s="106"/>
      <c r="L818" s="107"/>
      <c r="M818" s="108"/>
      <c r="N818" s="164" t="s">
        <v>979</v>
      </c>
    </row>
    <row r="819" spans="1:14" ht="15" x14ac:dyDescent="0.2">
      <c r="A819" s="103">
        <f t="shared" si="188"/>
        <v>750</v>
      </c>
      <c r="B819" s="256"/>
      <c r="C819" s="104"/>
      <c r="D819" s="112" t="s">
        <v>980</v>
      </c>
      <c r="E819" s="110">
        <v>391</v>
      </c>
      <c r="F819" s="110"/>
      <c r="G819" s="107">
        <f t="shared" ref="G819:G828" si="199">H818+1</f>
        <v>10</v>
      </c>
      <c r="H819" s="107">
        <f t="shared" ref="H819:H828" si="200">H818+I819</f>
        <v>69</v>
      </c>
      <c r="I819" s="111">
        <v>60</v>
      </c>
      <c r="J819" s="111" t="s">
        <v>15</v>
      </c>
      <c r="K819" s="124"/>
      <c r="L819" s="111"/>
      <c r="M819" s="108"/>
      <c r="N819" s="108"/>
    </row>
    <row r="820" spans="1:14" ht="15" x14ac:dyDescent="0.2">
      <c r="A820" s="103">
        <f t="shared" si="188"/>
        <v>751</v>
      </c>
      <c r="B820" s="256"/>
      <c r="C820" s="104"/>
      <c r="D820" s="112" t="s">
        <v>981</v>
      </c>
      <c r="E820" s="110">
        <v>392</v>
      </c>
      <c r="F820" s="110"/>
      <c r="G820" s="107">
        <f t="shared" si="199"/>
        <v>70</v>
      </c>
      <c r="H820" s="107">
        <f t="shared" si="200"/>
        <v>84</v>
      </c>
      <c r="I820" s="111">
        <v>15</v>
      </c>
      <c r="J820" s="111" t="s">
        <v>18</v>
      </c>
      <c r="K820" s="124"/>
      <c r="L820" s="111">
        <v>2</v>
      </c>
      <c r="M820" s="108"/>
      <c r="N820" s="108"/>
    </row>
    <row r="821" spans="1:14" ht="15" x14ac:dyDescent="0.2">
      <c r="A821" s="103">
        <f t="shared" si="188"/>
        <v>752</v>
      </c>
      <c r="B821" s="256"/>
      <c r="C821" s="104"/>
      <c r="D821" s="112" t="s">
        <v>982</v>
      </c>
      <c r="E821" s="110">
        <v>393</v>
      </c>
      <c r="F821" s="110"/>
      <c r="G821" s="107">
        <f t="shared" si="199"/>
        <v>85</v>
      </c>
      <c r="H821" s="107">
        <f t="shared" si="200"/>
        <v>99</v>
      </c>
      <c r="I821" s="111">
        <v>15</v>
      </c>
      <c r="J821" s="111" t="s">
        <v>18</v>
      </c>
      <c r="K821" s="124"/>
      <c r="L821" s="111">
        <v>2</v>
      </c>
      <c r="M821" s="108"/>
      <c r="N821" s="108"/>
    </row>
    <row r="822" spans="1:14" ht="15" x14ac:dyDescent="0.2">
      <c r="A822" s="103">
        <f t="shared" si="188"/>
        <v>753</v>
      </c>
      <c r="B822" s="256"/>
      <c r="C822" s="104"/>
      <c r="D822" s="112" t="s">
        <v>983</v>
      </c>
      <c r="E822" s="110">
        <v>394</v>
      </c>
      <c r="F822" s="110"/>
      <c r="G822" s="107">
        <f t="shared" si="199"/>
        <v>100</v>
      </c>
      <c r="H822" s="107">
        <f t="shared" si="200"/>
        <v>114</v>
      </c>
      <c r="I822" s="111">
        <v>15</v>
      </c>
      <c r="J822" s="111" t="s">
        <v>18</v>
      </c>
      <c r="K822" s="124"/>
      <c r="L822" s="111">
        <v>2</v>
      </c>
      <c r="M822" s="108"/>
      <c r="N822" s="108"/>
    </row>
    <row r="823" spans="1:14" ht="15" x14ac:dyDescent="0.2">
      <c r="A823" s="288">
        <f t="shared" si="188"/>
        <v>754</v>
      </c>
      <c r="B823" s="292"/>
      <c r="C823" s="293"/>
      <c r="D823" s="294" t="s">
        <v>28</v>
      </c>
      <c r="E823" s="289" t="s">
        <v>14</v>
      </c>
      <c r="F823" s="289"/>
      <c r="G823" s="290">
        <f>H822+1</f>
        <v>115</v>
      </c>
      <c r="H823" s="290">
        <v>600</v>
      </c>
      <c r="I823" s="290">
        <f>H823-H822</f>
        <v>486</v>
      </c>
      <c r="J823" s="290" t="s">
        <v>15</v>
      </c>
      <c r="K823" s="289"/>
      <c r="L823" s="290"/>
      <c r="M823" s="291"/>
      <c r="N823" s="295" t="s">
        <v>29</v>
      </c>
    </row>
    <row r="824" spans="1:14" ht="14.45" customHeight="1" x14ac:dyDescent="0.2">
      <c r="A824" s="324"/>
      <c r="B824" s="325"/>
      <c r="C824" s="325"/>
      <c r="D824" s="325"/>
      <c r="E824" s="325"/>
      <c r="F824" s="325"/>
      <c r="G824" s="325"/>
      <c r="H824" s="325"/>
      <c r="I824" s="325"/>
      <c r="J824" s="325"/>
      <c r="K824" s="325"/>
      <c r="L824" s="325"/>
      <c r="M824" s="325"/>
      <c r="N824" s="326"/>
    </row>
    <row r="825" spans="1:14" x14ac:dyDescent="0.2">
      <c r="A825" s="103">
        <f>A823+1</f>
        <v>755</v>
      </c>
      <c r="B825" s="103"/>
      <c r="C825" s="163" t="s">
        <v>984</v>
      </c>
      <c r="D825" s="164"/>
      <c r="E825" s="106" t="s">
        <v>14</v>
      </c>
      <c r="F825" s="106"/>
      <c r="G825" s="107">
        <f>$H$16+1</f>
        <v>7</v>
      </c>
      <c r="H825" s="107">
        <f>I825+$H$16</f>
        <v>9</v>
      </c>
      <c r="I825" s="107">
        <v>3</v>
      </c>
      <c r="J825" s="107" t="s">
        <v>18</v>
      </c>
      <c r="K825" s="106"/>
      <c r="L825" s="107"/>
      <c r="M825" s="108"/>
      <c r="N825" s="164" t="s">
        <v>985</v>
      </c>
    </row>
    <row r="826" spans="1:14" ht="15" x14ac:dyDescent="0.2">
      <c r="A826" s="103">
        <f t="shared" si="188"/>
        <v>756</v>
      </c>
      <c r="B826" s="103"/>
      <c r="C826" s="112"/>
      <c r="D826" s="105" t="s">
        <v>986</v>
      </c>
      <c r="E826" s="124">
        <v>396</v>
      </c>
      <c r="F826" s="124"/>
      <c r="G826" s="107">
        <f>H825+1</f>
        <v>10</v>
      </c>
      <c r="H826" s="107">
        <f>H825+I826</f>
        <v>69</v>
      </c>
      <c r="I826" s="111">
        <v>60</v>
      </c>
      <c r="J826" s="111" t="s">
        <v>15</v>
      </c>
      <c r="K826" s="124"/>
      <c r="L826" s="111"/>
      <c r="M826" s="108"/>
      <c r="N826" s="108"/>
    </row>
    <row r="827" spans="1:14" ht="15" x14ac:dyDescent="0.2">
      <c r="A827" s="103">
        <f t="shared" si="188"/>
        <v>757</v>
      </c>
      <c r="B827" s="103"/>
      <c r="C827" s="112"/>
      <c r="D827" s="105" t="s">
        <v>987</v>
      </c>
      <c r="E827" s="124">
        <v>397</v>
      </c>
      <c r="F827" s="124"/>
      <c r="G827" s="107">
        <f t="shared" si="199"/>
        <v>70</v>
      </c>
      <c r="H827" s="107">
        <f t="shared" si="200"/>
        <v>79</v>
      </c>
      <c r="I827" s="111">
        <v>10</v>
      </c>
      <c r="J827" s="111" t="s">
        <v>106</v>
      </c>
      <c r="K827" s="124"/>
      <c r="L827" s="111"/>
      <c r="M827" s="108" t="s">
        <v>107</v>
      </c>
      <c r="N827" s="108"/>
    </row>
    <row r="828" spans="1:14" ht="15" x14ac:dyDescent="0.2">
      <c r="A828" s="103">
        <f t="shared" si="188"/>
        <v>758</v>
      </c>
      <c r="B828" s="103"/>
      <c r="C828" s="112"/>
      <c r="D828" s="105" t="s">
        <v>988</v>
      </c>
      <c r="E828" s="124">
        <v>398</v>
      </c>
      <c r="F828" s="124"/>
      <c r="G828" s="107">
        <f t="shared" si="199"/>
        <v>80</v>
      </c>
      <c r="H828" s="107">
        <f t="shared" si="200"/>
        <v>94</v>
      </c>
      <c r="I828" s="111">
        <v>15</v>
      </c>
      <c r="J828" s="111" t="s">
        <v>18</v>
      </c>
      <c r="K828" s="124"/>
      <c r="L828" s="111">
        <v>2</v>
      </c>
      <c r="M828" s="108"/>
      <c r="N828" s="108"/>
    </row>
    <row r="829" spans="1:14" s="117" customFormat="1" ht="15" x14ac:dyDescent="0.2">
      <c r="A829" s="288">
        <f t="shared" si="188"/>
        <v>759</v>
      </c>
      <c r="B829" s="292"/>
      <c r="C829" s="293"/>
      <c r="D829" s="294" t="s">
        <v>28</v>
      </c>
      <c r="E829" s="289" t="s">
        <v>14</v>
      </c>
      <c r="F829" s="289"/>
      <c r="G829" s="290">
        <f>H828+1</f>
        <v>95</v>
      </c>
      <c r="H829" s="290">
        <v>600</v>
      </c>
      <c r="I829" s="290">
        <f>H829-H828</f>
        <v>506</v>
      </c>
      <c r="J829" s="290" t="s">
        <v>15</v>
      </c>
      <c r="K829" s="289"/>
      <c r="L829" s="290"/>
      <c r="M829" s="291"/>
      <c r="N829" s="295" t="s">
        <v>29</v>
      </c>
    </row>
    <row r="830" spans="1:14" ht="14.45" customHeight="1" x14ac:dyDescent="0.2">
      <c r="A830" s="324"/>
      <c r="B830" s="325"/>
      <c r="C830" s="325"/>
      <c r="D830" s="325"/>
      <c r="E830" s="325"/>
      <c r="F830" s="325"/>
      <c r="G830" s="325"/>
      <c r="H830" s="325"/>
      <c r="I830" s="325"/>
      <c r="J830" s="325"/>
      <c r="K830" s="325"/>
      <c r="L830" s="325"/>
      <c r="M830" s="325"/>
      <c r="N830" s="326"/>
    </row>
    <row r="831" spans="1:14" s="117" customFormat="1" ht="38.25" x14ac:dyDescent="0.2">
      <c r="A831" s="103">
        <f>A829+1</f>
        <v>760</v>
      </c>
      <c r="B831" s="103"/>
      <c r="C831" s="163" t="s">
        <v>989</v>
      </c>
      <c r="D831" s="164"/>
      <c r="E831" s="219" t="s">
        <v>14</v>
      </c>
      <c r="F831" s="219"/>
      <c r="G831" s="220">
        <f>$H$16+1</f>
        <v>7</v>
      </c>
      <c r="H831" s="220">
        <f>I831+$H$16</f>
        <v>9</v>
      </c>
      <c r="I831" s="220">
        <v>3</v>
      </c>
      <c r="J831" s="220" t="s">
        <v>18</v>
      </c>
      <c r="K831" s="219"/>
      <c r="L831" s="220"/>
      <c r="M831" s="164"/>
      <c r="N831" s="108" t="s">
        <v>990</v>
      </c>
    </row>
    <row r="832" spans="1:14" s="117" customFormat="1" ht="25.5" x14ac:dyDescent="0.2">
      <c r="A832" s="103">
        <f t="shared" si="188"/>
        <v>761</v>
      </c>
      <c r="B832" s="103"/>
      <c r="C832" s="112"/>
      <c r="D832" s="112" t="s">
        <v>991</v>
      </c>
      <c r="E832" s="106" t="s">
        <v>992</v>
      </c>
      <c r="F832" s="106"/>
      <c r="G832" s="107">
        <f t="shared" ref="G832" si="201">H831+1</f>
        <v>10</v>
      </c>
      <c r="H832" s="107">
        <f>H831+I832</f>
        <v>11</v>
      </c>
      <c r="I832" s="107">
        <v>2</v>
      </c>
      <c r="J832" s="107" t="s">
        <v>18</v>
      </c>
      <c r="K832" s="106"/>
      <c r="L832" s="107"/>
      <c r="M832" s="108"/>
      <c r="N832" s="48" t="s">
        <v>993</v>
      </c>
    </row>
    <row r="833" spans="1:14" s="117" customFormat="1" x14ac:dyDescent="0.2">
      <c r="A833" s="103">
        <f t="shared" ref="A833:A906" si="202">A832+1</f>
        <v>762</v>
      </c>
      <c r="B833" s="103"/>
      <c r="C833" s="112"/>
      <c r="D833" s="112" t="s">
        <v>994</v>
      </c>
      <c r="E833" s="106" t="s">
        <v>995</v>
      </c>
      <c r="F833" s="106"/>
      <c r="G833" s="107">
        <f t="shared" ref="G833" si="203">H832+1</f>
        <v>12</v>
      </c>
      <c r="H833" s="107">
        <f>H832+I833</f>
        <v>26</v>
      </c>
      <c r="I833" s="107">
        <v>15</v>
      </c>
      <c r="J833" s="107" t="s">
        <v>18</v>
      </c>
      <c r="K833" s="106"/>
      <c r="L833" s="107">
        <v>2</v>
      </c>
      <c r="M833" s="108"/>
      <c r="N833" s="108"/>
    </row>
    <row r="834" spans="1:14" s="117" customFormat="1" ht="51" x14ac:dyDescent="0.2">
      <c r="A834" s="103">
        <f t="shared" si="202"/>
        <v>763</v>
      </c>
      <c r="B834" s="103"/>
      <c r="C834" s="112"/>
      <c r="D834" s="49" t="s">
        <v>996</v>
      </c>
      <c r="E834" s="145" t="s">
        <v>997</v>
      </c>
      <c r="F834" s="145"/>
      <c r="G834" s="146">
        <f t="shared" ref="G834" si="204">H833+1</f>
        <v>27</v>
      </c>
      <c r="H834" s="146">
        <f>H833+I834</f>
        <v>40</v>
      </c>
      <c r="I834" s="146">
        <v>14</v>
      </c>
      <c r="J834" s="146" t="s">
        <v>15</v>
      </c>
      <c r="K834" s="145"/>
      <c r="L834" s="146"/>
      <c r="M834" s="48"/>
      <c r="N834" s="48" t="s">
        <v>998</v>
      </c>
    </row>
    <row r="835" spans="1:14" s="117" customFormat="1" ht="127.5" x14ac:dyDescent="0.2">
      <c r="A835" s="103">
        <f t="shared" si="202"/>
        <v>764</v>
      </c>
      <c r="B835" s="103"/>
      <c r="C835" s="112"/>
      <c r="D835" s="112" t="s">
        <v>999</v>
      </c>
      <c r="E835" s="106" t="s">
        <v>1000</v>
      </c>
      <c r="F835" s="106"/>
      <c r="G835" s="107">
        <f t="shared" ref="G835" si="205">H834+1</f>
        <v>41</v>
      </c>
      <c r="H835" s="107">
        <f>H834+I835</f>
        <v>42</v>
      </c>
      <c r="I835" s="107">
        <v>2</v>
      </c>
      <c r="J835" s="107" t="s">
        <v>18</v>
      </c>
      <c r="K835" s="106"/>
      <c r="L835" s="107"/>
      <c r="M835" s="108"/>
      <c r="N835" s="108" t="s">
        <v>1001</v>
      </c>
    </row>
    <row r="836" spans="1:14" s="117" customFormat="1" x14ac:dyDescent="0.2">
      <c r="A836" s="103">
        <f t="shared" si="202"/>
        <v>765</v>
      </c>
      <c r="B836" s="103"/>
      <c r="C836" s="112"/>
      <c r="D836" s="112" t="s">
        <v>1002</v>
      </c>
      <c r="E836" s="106" t="s">
        <v>1003</v>
      </c>
      <c r="F836" s="106"/>
      <c r="G836" s="107">
        <f t="shared" ref="G836" si="206">H835+1</f>
        <v>43</v>
      </c>
      <c r="H836" s="107">
        <f>H835+I836</f>
        <v>62</v>
      </c>
      <c r="I836" s="107">
        <v>20</v>
      </c>
      <c r="J836" s="107" t="s">
        <v>15</v>
      </c>
      <c r="K836" s="106"/>
      <c r="L836" s="107"/>
      <c r="M836" s="108"/>
      <c r="N836" s="108" t="s">
        <v>1004</v>
      </c>
    </row>
    <row r="837" spans="1:14" s="117" customFormat="1" x14ac:dyDescent="0.2">
      <c r="A837" s="103">
        <f t="shared" si="202"/>
        <v>766</v>
      </c>
      <c r="B837" s="103"/>
      <c r="C837" s="112"/>
      <c r="D837" s="112" t="s">
        <v>1005</v>
      </c>
      <c r="E837" s="106" t="s">
        <v>1006</v>
      </c>
      <c r="F837" s="106"/>
      <c r="G837" s="107">
        <f t="shared" ref="G837" si="207">H836+1</f>
        <v>63</v>
      </c>
      <c r="H837" s="107">
        <f t="shared" ref="H837" si="208">H836+I837</f>
        <v>77</v>
      </c>
      <c r="I837" s="107">
        <v>15</v>
      </c>
      <c r="J837" s="107" t="s">
        <v>18</v>
      </c>
      <c r="K837" s="106"/>
      <c r="L837" s="107">
        <v>2</v>
      </c>
      <c r="M837" s="108"/>
      <c r="N837" s="108" t="s">
        <v>1007</v>
      </c>
    </row>
    <row r="838" spans="1:14" s="117" customFormat="1" ht="25.5" x14ac:dyDescent="0.2">
      <c r="A838" s="103">
        <f t="shared" si="202"/>
        <v>767</v>
      </c>
      <c r="B838" s="103"/>
      <c r="C838" s="27"/>
      <c r="D838" s="10" t="s">
        <v>98</v>
      </c>
      <c r="E838" s="29" t="s">
        <v>1008</v>
      </c>
      <c r="F838" s="29"/>
      <c r="G838" s="107">
        <f t="shared" ref="G838" si="209">H837+1</f>
        <v>78</v>
      </c>
      <c r="H838" s="107">
        <f t="shared" ref="H838" si="210">H837+I838</f>
        <v>78</v>
      </c>
      <c r="I838" s="28">
        <v>1</v>
      </c>
      <c r="J838" s="28" t="s">
        <v>18</v>
      </c>
      <c r="K838" s="29"/>
      <c r="L838" s="28"/>
      <c r="M838" s="3"/>
      <c r="N838" s="3" t="s">
        <v>1009</v>
      </c>
    </row>
    <row r="839" spans="1:14" s="117" customFormat="1" ht="38.25" x14ac:dyDescent="0.2">
      <c r="A839" s="103">
        <f t="shared" si="202"/>
        <v>768</v>
      </c>
      <c r="B839" s="103"/>
      <c r="C839" s="112"/>
      <c r="D839" s="49" t="s">
        <v>1010</v>
      </c>
      <c r="E839" s="145" t="s">
        <v>1011</v>
      </c>
      <c r="F839" s="145"/>
      <c r="G839" s="146">
        <f t="shared" ref="G839" si="211">H838+1</f>
        <v>79</v>
      </c>
      <c r="H839" s="146">
        <f t="shared" ref="H839" si="212">H838+I839</f>
        <v>138</v>
      </c>
      <c r="I839" s="146">
        <v>60</v>
      </c>
      <c r="J839" s="146" t="s">
        <v>15</v>
      </c>
      <c r="K839" s="145"/>
      <c r="L839" s="146"/>
      <c r="M839" s="48"/>
      <c r="N839" s="48" t="s">
        <v>1012</v>
      </c>
    </row>
    <row r="840" spans="1:14" s="117" customFormat="1" ht="15" x14ac:dyDescent="0.2">
      <c r="A840" s="288">
        <f t="shared" si="202"/>
        <v>769</v>
      </c>
      <c r="B840" s="292"/>
      <c r="C840" s="293"/>
      <c r="D840" s="294" t="s">
        <v>28</v>
      </c>
      <c r="E840" s="289" t="s">
        <v>14</v>
      </c>
      <c r="F840" s="289"/>
      <c r="G840" s="290">
        <f t="shared" ref="G840" si="213">H839+1</f>
        <v>139</v>
      </c>
      <c r="H840" s="290">
        <f t="shared" ref="H840" si="214">H839+I840</f>
        <v>600</v>
      </c>
      <c r="I840" s="290">
        <v>462</v>
      </c>
      <c r="J840" s="290" t="s">
        <v>15</v>
      </c>
      <c r="K840" s="289"/>
      <c r="L840" s="290"/>
      <c r="M840" s="291"/>
      <c r="N840" s="295" t="s">
        <v>29</v>
      </c>
    </row>
    <row r="841" spans="1:14" ht="14.45" customHeight="1" x14ac:dyDescent="0.2">
      <c r="A841" s="324"/>
      <c r="B841" s="325"/>
      <c r="C841" s="325"/>
      <c r="D841" s="325"/>
      <c r="E841" s="325"/>
      <c r="F841" s="325"/>
      <c r="G841" s="325"/>
      <c r="H841" s="325"/>
      <c r="I841" s="325"/>
      <c r="J841" s="325"/>
      <c r="K841" s="325"/>
      <c r="L841" s="325"/>
      <c r="M841" s="325"/>
      <c r="N841" s="326"/>
    </row>
    <row r="842" spans="1:14" s="117" customFormat="1" x14ac:dyDescent="0.2">
      <c r="A842" s="103">
        <f>A840+1</f>
        <v>770</v>
      </c>
      <c r="B842" s="103"/>
      <c r="C842" s="49" t="s">
        <v>1013</v>
      </c>
      <c r="D842" s="48"/>
      <c r="E842" s="145" t="s">
        <v>14</v>
      </c>
      <c r="F842" s="145"/>
      <c r="G842" s="146">
        <v>7</v>
      </c>
      <c r="H842" s="146">
        <v>9</v>
      </c>
      <c r="I842" s="146">
        <v>3</v>
      </c>
      <c r="J842" s="146" t="s">
        <v>18</v>
      </c>
      <c r="K842" s="145"/>
      <c r="L842" s="146"/>
      <c r="M842" s="48"/>
      <c r="N842" s="48" t="s">
        <v>1014</v>
      </c>
    </row>
    <row r="843" spans="1:14" s="117" customFormat="1" ht="25.5" x14ac:dyDescent="0.2">
      <c r="A843" s="103">
        <f t="shared" si="202"/>
        <v>771</v>
      </c>
      <c r="B843" s="103"/>
      <c r="C843" s="49"/>
      <c r="D843" s="143" t="s">
        <v>1015</v>
      </c>
      <c r="E843" s="145" t="s">
        <v>1016</v>
      </c>
      <c r="F843" s="145"/>
      <c r="G843" s="146">
        <f>H842+1</f>
        <v>10</v>
      </c>
      <c r="H843" s="146">
        <f>H842+I843</f>
        <v>23</v>
      </c>
      <c r="I843" s="146">
        <v>14</v>
      </c>
      <c r="J843" s="146" t="s">
        <v>18</v>
      </c>
      <c r="K843" s="145"/>
      <c r="L843" s="146"/>
      <c r="M843" s="48"/>
      <c r="N843" s="49" t="s">
        <v>1017</v>
      </c>
    </row>
    <row r="844" spans="1:14" ht="39" customHeight="1" x14ac:dyDescent="0.2">
      <c r="A844" s="103">
        <f t="shared" si="202"/>
        <v>772</v>
      </c>
      <c r="B844" s="103"/>
      <c r="C844" s="49"/>
      <c r="D844" s="48" t="s">
        <v>1018</v>
      </c>
      <c r="E844" s="145" t="s">
        <v>1019</v>
      </c>
      <c r="F844" s="145"/>
      <c r="G844" s="146">
        <f>H843+1</f>
        <v>24</v>
      </c>
      <c r="H844" s="146">
        <f>H843+I844</f>
        <v>83</v>
      </c>
      <c r="I844" s="146">
        <v>60</v>
      </c>
      <c r="J844" s="146" t="s">
        <v>15</v>
      </c>
      <c r="K844" s="145"/>
      <c r="L844" s="146"/>
      <c r="M844" s="48"/>
      <c r="N844" s="48" t="s">
        <v>1020</v>
      </c>
    </row>
    <row r="845" spans="1:14" s="117" customFormat="1" ht="15" x14ac:dyDescent="0.2">
      <c r="A845" s="288">
        <f t="shared" si="202"/>
        <v>773</v>
      </c>
      <c r="B845" s="292"/>
      <c r="C845" s="293"/>
      <c r="D845" s="294" t="s">
        <v>28</v>
      </c>
      <c r="E845" s="289" t="s">
        <v>14</v>
      </c>
      <c r="F845" s="289"/>
      <c r="G845" s="290">
        <f>H844+1</f>
        <v>84</v>
      </c>
      <c r="H845" s="290">
        <v>600</v>
      </c>
      <c r="I845" s="290">
        <f>H845-H844</f>
        <v>517</v>
      </c>
      <c r="J845" s="290" t="s">
        <v>15</v>
      </c>
      <c r="K845" s="289"/>
      <c r="L845" s="290"/>
      <c r="M845" s="291"/>
      <c r="N845" s="295"/>
    </row>
    <row r="846" spans="1:14" ht="14.45" customHeight="1" x14ac:dyDescent="0.2">
      <c r="A846" s="324"/>
      <c r="B846" s="325"/>
      <c r="C846" s="325"/>
      <c r="D846" s="325"/>
      <c r="E846" s="325"/>
      <c r="F846" s="325"/>
      <c r="G846" s="325"/>
      <c r="H846" s="325"/>
      <c r="I846" s="325"/>
      <c r="J846" s="325"/>
      <c r="K846" s="325"/>
      <c r="L846" s="325"/>
      <c r="M846" s="325"/>
      <c r="N846" s="326"/>
    </row>
    <row r="847" spans="1:14" x14ac:dyDescent="0.2">
      <c r="A847" s="103">
        <f>A845+1</f>
        <v>774</v>
      </c>
      <c r="B847" s="103"/>
      <c r="C847" s="112" t="s">
        <v>1021</v>
      </c>
      <c r="D847" s="112"/>
      <c r="E847" s="106"/>
      <c r="F847" s="106"/>
      <c r="G847" s="107"/>
      <c r="H847" s="107"/>
      <c r="I847" s="107"/>
      <c r="J847" s="107"/>
      <c r="K847" s="106"/>
      <c r="L847" s="107"/>
      <c r="M847" s="108"/>
      <c r="N847" s="108"/>
    </row>
    <row r="848" spans="1:14" x14ac:dyDescent="0.2">
      <c r="A848" s="103">
        <f t="shared" si="202"/>
        <v>775</v>
      </c>
      <c r="B848" s="103"/>
      <c r="C848" s="163" t="s">
        <v>1022</v>
      </c>
      <c r="D848" s="164"/>
      <c r="E848" s="106" t="s">
        <v>14</v>
      </c>
      <c r="F848" s="106"/>
      <c r="G848" s="107">
        <f>$H$16+1</f>
        <v>7</v>
      </c>
      <c r="H848" s="107">
        <f>I848+$H$16</f>
        <v>9</v>
      </c>
      <c r="I848" s="107">
        <v>3</v>
      </c>
      <c r="J848" s="107" t="s">
        <v>18</v>
      </c>
      <c r="K848" s="106"/>
      <c r="L848" s="107"/>
      <c r="M848" s="108"/>
      <c r="N848" s="164" t="s">
        <v>1023</v>
      </c>
    </row>
    <row r="849" spans="1:14" x14ac:dyDescent="0.2">
      <c r="A849" s="103">
        <f t="shared" si="202"/>
        <v>776</v>
      </c>
      <c r="B849" s="261"/>
      <c r="D849" s="112" t="s">
        <v>1024</v>
      </c>
      <c r="E849" s="124">
        <v>400</v>
      </c>
      <c r="F849" s="124"/>
      <c r="G849" s="107">
        <f>H848+1</f>
        <v>10</v>
      </c>
      <c r="H849" s="107">
        <f>H848+I849</f>
        <v>509</v>
      </c>
      <c r="I849" s="111">
        <v>500</v>
      </c>
      <c r="J849" s="111" t="s">
        <v>15</v>
      </c>
      <c r="K849" s="124"/>
      <c r="L849" s="111"/>
      <c r="M849" s="108"/>
      <c r="N849" s="108" t="s">
        <v>1025</v>
      </c>
    </row>
    <row r="850" spans="1:14" ht="15" x14ac:dyDescent="0.2">
      <c r="A850" s="288">
        <f t="shared" si="202"/>
        <v>777</v>
      </c>
      <c r="B850" s="292"/>
      <c r="C850" s="293"/>
      <c r="D850" s="294" t="s">
        <v>28</v>
      </c>
      <c r="E850" s="289" t="s">
        <v>14</v>
      </c>
      <c r="F850" s="289"/>
      <c r="G850" s="290">
        <f>H849+1</f>
        <v>510</v>
      </c>
      <c r="H850" s="290">
        <v>600</v>
      </c>
      <c r="I850" s="290">
        <f>H850-H849</f>
        <v>91</v>
      </c>
      <c r="J850" s="290" t="s">
        <v>15</v>
      </c>
      <c r="K850" s="289"/>
      <c r="L850" s="290"/>
      <c r="M850" s="291"/>
      <c r="N850" s="295" t="s">
        <v>29</v>
      </c>
    </row>
    <row r="851" spans="1:14" ht="14.45" customHeight="1" x14ac:dyDescent="0.2">
      <c r="A851" s="324"/>
      <c r="B851" s="325"/>
      <c r="C851" s="325"/>
      <c r="D851" s="325"/>
      <c r="E851" s="325"/>
      <c r="F851" s="325"/>
      <c r="G851" s="325"/>
      <c r="H851" s="325"/>
      <c r="I851" s="325"/>
      <c r="J851" s="325"/>
      <c r="K851" s="325"/>
      <c r="L851" s="325"/>
      <c r="M851" s="325"/>
      <c r="N851" s="326"/>
    </row>
    <row r="852" spans="1:14" x14ac:dyDescent="0.2">
      <c r="A852" s="103">
        <f>A850+1</f>
        <v>778</v>
      </c>
      <c r="B852" s="103"/>
      <c r="C852" s="163" t="s">
        <v>1026</v>
      </c>
      <c r="D852" s="164"/>
      <c r="E852" s="106" t="s">
        <v>14</v>
      </c>
      <c r="F852" s="106"/>
      <c r="G852" s="107">
        <f>$H$16+1</f>
        <v>7</v>
      </c>
      <c r="H852" s="107">
        <f>I852+$H$16</f>
        <v>9</v>
      </c>
      <c r="I852" s="107">
        <v>3</v>
      </c>
      <c r="J852" s="107" t="s">
        <v>18</v>
      </c>
      <c r="K852" s="106"/>
      <c r="L852" s="107"/>
      <c r="M852" s="108"/>
      <c r="N852" s="164" t="s">
        <v>1027</v>
      </c>
    </row>
    <row r="853" spans="1:14" x14ac:dyDescent="0.2">
      <c r="A853" s="103">
        <f t="shared" si="202"/>
        <v>779</v>
      </c>
      <c r="B853" s="256"/>
      <c r="C853" s="104"/>
      <c r="D853" s="112" t="s">
        <v>1028</v>
      </c>
      <c r="E853" s="124">
        <v>401</v>
      </c>
      <c r="F853" s="124"/>
      <c r="G853" s="107">
        <f>H852+1</f>
        <v>10</v>
      </c>
      <c r="H853" s="107">
        <f>H852+I853</f>
        <v>509</v>
      </c>
      <c r="I853" s="111">
        <v>500</v>
      </c>
      <c r="J853" s="111" t="s">
        <v>15</v>
      </c>
      <c r="K853" s="124"/>
      <c r="L853" s="111"/>
      <c r="M853" s="108"/>
      <c r="N853" s="108" t="s">
        <v>1029</v>
      </c>
    </row>
    <row r="854" spans="1:14" ht="15" x14ac:dyDescent="0.2">
      <c r="A854" s="288">
        <f t="shared" si="202"/>
        <v>780</v>
      </c>
      <c r="B854" s="292"/>
      <c r="C854" s="293"/>
      <c r="D854" s="294" t="s">
        <v>28</v>
      </c>
      <c r="E854" s="289" t="s">
        <v>14</v>
      </c>
      <c r="F854" s="289"/>
      <c r="G854" s="290">
        <f>H853+1</f>
        <v>510</v>
      </c>
      <c r="H854" s="290">
        <v>600</v>
      </c>
      <c r="I854" s="290">
        <f>H854-H853</f>
        <v>91</v>
      </c>
      <c r="J854" s="290" t="s">
        <v>15</v>
      </c>
      <c r="K854" s="289"/>
      <c r="L854" s="290"/>
      <c r="M854" s="291"/>
      <c r="N854" s="295" t="s">
        <v>29</v>
      </c>
    </row>
    <row r="855" spans="1:14" ht="14.45" customHeight="1" x14ac:dyDescent="0.2">
      <c r="A855" s="324"/>
      <c r="B855" s="325"/>
      <c r="C855" s="325"/>
      <c r="D855" s="325"/>
      <c r="E855" s="325"/>
      <c r="F855" s="325"/>
      <c r="G855" s="325"/>
      <c r="H855" s="325"/>
      <c r="I855" s="325"/>
      <c r="J855" s="325"/>
      <c r="K855" s="325"/>
      <c r="L855" s="325"/>
      <c r="M855" s="325"/>
      <c r="N855" s="326"/>
    </row>
    <row r="856" spans="1:14" x14ac:dyDescent="0.2">
      <c r="A856" s="103">
        <f>A854+1</f>
        <v>781</v>
      </c>
      <c r="B856" s="103"/>
      <c r="C856" s="163" t="s">
        <v>1030</v>
      </c>
      <c r="D856" s="164"/>
      <c r="E856" s="106" t="s">
        <v>14</v>
      </c>
      <c r="F856" s="106"/>
      <c r="G856" s="107">
        <f>$H$16+1</f>
        <v>7</v>
      </c>
      <c r="H856" s="107">
        <f>I856+$H$16</f>
        <v>9</v>
      </c>
      <c r="I856" s="107">
        <v>3</v>
      </c>
      <c r="J856" s="107" t="s">
        <v>18</v>
      </c>
      <c r="K856" s="106"/>
      <c r="L856" s="107"/>
      <c r="M856" s="108"/>
      <c r="N856" s="164" t="s">
        <v>1031</v>
      </c>
    </row>
    <row r="857" spans="1:14" x14ac:dyDescent="0.2">
      <c r="A857" s="103">
        <f t="shared" si="202"/>
        <v>782</v>
      </c>
      <c r="B857" s="256"/>
      <c r="C857" s="104"/>
      <c r="D857" s="112" t="s">
        <v>1032</v>
      </c>
      <c r="E857" s="124" t="s">
        <v>1033</v>
      </c>
      <c r="F857" s="124"/>
      <c r="G857" s="107">
        <f>H856+1</f>
        <v>10</v>
      </c>
      <c r="H857" s="107">
        <f>H856+I857</f>
        <v>29</v>
      </c>
      <c r="I857" s="111">
        <v>20</v>
      </c>
      <c r="J857" s="111" t="s">
        <v>15</v>
      </c>
      <c r="K857" s="124"/>
      <c r="L857" s="111"/>
      <c r="M857" s="108"/>
      <c r="N857" s="108"/>
    </row>
    <row r="858" spans="1:14" x14ac:dyDescent="0.2">
      <c r="A858" s="103">
        <f t="shared" si="202"/>
        <v>783</v>
      </c>
      <c r="B858" s="256"/>
      <c r="C858" s="104"/>
      <c r="D858" s="112" t="s">
        <v>1034</v>
      </c>
      <c r="E858" s="124" t="s">
        <v>1035</v>
      </c>
      <c r="F858" s="124"/>
      <c r="G858" s="107">
        <f>H857+1</f>
        <v>30</v>
      </c>
      <c r="H858" s="107">
        <f>H857+I858</f>
        <v>89</v>
      </c>
      <c r="I858" s="111">
        <v>60</v>
      </c>
      <c r="J858" s="111" t="s">
        <v>15</v>
      </c>
      <c r="K858" s="124"/>
      <c r="L858" s="111"/>
      <c r="M858" s="108"/>
      <c r="N858" s="108"/>
    </row>
    <row r="859" spans="1:14" ht="15" x14ac:dyDescent="0.2">
      <c r="A859" s="288">
        <f t="shared" si="202"/>
        <v>784</v>
      </c>
      <c r="B859" s="292"/>
      <c r="C859" s="293"/>
      <c r="D859" s="294" t="s">
        <v>28</v>
      </c>
      <c r="E859" s="289" t="s">
        <v>14</v>
      </c>
      <c r="F859" s="289"/>
      <c r="G859" s="290">
        <f>H858+1</f>
        <v>90</v>
      </c>
      <c r="H859" s="290">
        <v>600</v>
      </c>
      <c r="I859" s="290">
        <f>H859-H858</f>
        <v>511</v>
      </c>
      <c r="J859" s="290" t="s">
        <v>15</v>
      </c>
      <c r="K859" s="289"/>
      <c r="L859" s="290"/>
      <c r="M859" s="291"/>
      <c r="N859" s="295" t="s">
        <v>29</v>
      </c>
    </row>
    <row r="860" spans="1:14" ht="14.45" customHeight="1" x14ac:dyDescent="0.2">
      <c r="A860" s="324"/>
      <c r="B860" s="325"/>
      <c r="C860" s="325"/>
      <c r="D860" s="325"/>
      <c r="E860" s="325"/>
      <c r="F860" s="325"/>
      <c r="G860" s="325"/>
      <c r="H860" s="325"/>
      <c r="I860" s="325"/>
      <c r="J860" s="325"/>
      <c r="K860" s="325"/>
      <c r="L860" s="325"/>
      <c r="M860" s="325"/>
      <c r="N860" s="326"/>
    </row>
    <row r="861" spans="1:14" x14ac:dyDescent="0.2">
      <c r="A861" s="103">
        <f>A859+1</f>
        <v>785</v>
      </c>
      <c r="B861" s="103"/>
      <c r="C861" s="163" t="s">
        <v>1036</v>
      </c>
      <c r="D861" s="164"/>
      <c r="E861" s="106" t="s">
        <v>14</v>
      </c>
      <c r="F861" s="106"/>
      <c r="G861" s="107">
        <f>$H$16+1</f>
        <v>7</v>
      </c>
      <c r="H861" s="107">
        <f>I861+$H$16</f>
        <v>9</v>
      </c>
      <c r="I861" s="107">
        <v>3</v>
      </c>
      <c r="J861" s="107" t="s">
        <v>18</v>
      </c>
      <c r="K861" s="106"/>
      <c r="L861" s="107"/>
      <c r="M861" s="108"/>
      <c r="N861" s="164" t="s">
        <v>1037</v>
      </c>
    </row>
    <row r="862" spans="1:14" x14ac:dyDescent="0.2">
      <c r="A862" s="103">
        <f t="shared" si="202"/>
        <v>786</v>
      </c>
      <c r="B862" s="256"/>
      <c r="C862" s="104"/>
      <c r="D862" s="112" t="s">
        <v>1038</v>
      </c>
      <c r="E862" s="124">
        <v>403</v>
      </c>
      <c r="F862" s="124"/>
      <c r="G862" s="107">
        <f>H861+1</f>
        <v>10</v>
      </c>
      <c r="H862" s="107">
        <f>H861+I862</f>
        <v>11</v>
      </c>
      <c r="I862" s="111">
        <v>2</v>
      </c>
      <c r="J862" s="111" t="s">
        <v>15</v>
      </c>
      <c r="K862" s="124"/>
      <c r="L862" s="111"/>
      <c r="M862" s="108"/>
      <c r="N862" s="208" t="s">
        <v>1039</v>
      </c>
    </row>
    <row r="863" spans="1:14" x14ac:dyDescent="0.2">
      <c r="A863" s="103">
        <f t="shared" si="202"/>
        <v>787</v>
      </c>
      <c r="B863" s="256"/>
      <c r="C863" s="104"/>
      <c r="D863" s="112" t="s">
        <v>1040</v>
      </c>
      <c r="E863" s="124">
        <v>404</v>
      </c>
      <c r="F863" s="124"/>
      <c r="G863" s="107">
        <f>H862+1</f>
        <v>12</v>
      </c>
      <c r="H863" s="107">
        <f>H862+I863</f>
        <v>71</v>
      </c>
      <c r="I863" s="111">
        <v>60</v>
      </c>
      <c r="J863" s="111" t="s">
        <v>15</v>
      </c>
      <c r="K863" s="124"/>
      <c r="L863" s="111"/>
      <c r="M863" s="108"/>
      <c r="N863" s="108"/>
    </row>
    <row r="864" spans="1:14" x14ac:dyDescent="0.2">
      <c r="A864" s="103">
        <f t="shared" si="202"/>
        <v>788</v>
      </c>
      <c r="B864" s="256"/>
      <c r="C864" s="104"/>
      <c r="D864" s="112" t="s">
        <v>1041</v>
      </c>
      <c r="E864" s="124" t="s">
        <v>1042</v>
      </c>
      <c r="F864" s="124"/>
      <c r="G864" s="107">
        <v>72</v>
      </c>
      <c r="H864" s="107">
        <v>131</v>
      </c>
      <c r="I864" s="111">
        <v>60</v>
      </c>
      <c r="J864" s="111"/>
      <c r="K864" s="124"/>
      <c r="L864" s="111"/>
      <c r="M864" s="108"/>
      <c r="N864" s="208" t="s">
        <v>1043</v>
      </c>
    </row>
    <row r="865" spans="1:14" ht="15" x14ac:dyDescent="0.2">
      <c r="A865" s="288">
        <f t="shared" si="202"/>
        <v>789</v>
      </c>
      <c r="B865" s="292"/>
      <c r="C865" s="293"/>
      <c r="D865" s="294" t="s">
        <v>28</v>
      </c>
      <c r="E865" s="289" t="s">
        <v>14</v>
      </c>
      <c r="F865" s="289"/>
      <c r="G865" s="290">
        <f>H863+1</f>
        <v>72</v>
      </c>
      <c r="H865" s="290">
        <v>600</v>
      </c>
      <c r="I865" s="290">
        <f>H865-H864</f>
        <v>469</v>
      </c>
      <c r="J865" s="290" t="s">
        <v>15</v>
      </c>
      <c r="K865" s="289"/>
      <c r="L865" s="290"/>
      <c r="M865" s="291"/>
      <c r="N865" s="295" t="s">
        <v>29</v>
      </c>
    </row>
    <row r="866" spans="1:14" ht="14.45" customHeight="1" x14ac:dyDescent="0.2">
      <c r="A866" s="324"/>
      <c r="B866" s="325"/>
      <c r="C866" s="325"/>
      <c r="D866" s="325"/>
      <c r="E866" s="325"/>
      <c r="F866" s="325"/>
      <c r="G866" s="325"/>
      <c r="H866" s="325"/>
      <c r="I866" s="325"/>
      <c r="J866" s="325"/>
      <c r="K866" s="325"/>
      <c r="L866" s="325"/>
      <c r="M866" s="325"/>
      <c r="N866" s="326"/>
    </row>
    <row r="867" spans="1:14" x14ac:dyDescent="0.2">
      <c r="A867" s="103">
        <f>A865+1</f>
        <v>790</v>
      </c>
      <c r="B867" s="103"/>
      <c r="C867" s="163" t="s">
        <v>1044</v>
      </c>
      <c r="D867" s="164"/>
      <c r="E867" s="106" t="s">
        <v>14</v>
      </c>
      <c r="F867" s="106"/>
      <c r="G867" s="107">
        <f>$H$16+1</f>
        <v>7</v>
      </c>
      <c r="H867" s="107">
        <f>I867+$H$16</f>
        <v>9</v>
      </c>
      <c r="I867" s="107">
        <v>3</v>
      </c>
      <c r="J867" s="107" t="s">
        <v>18</v>
      </c>
      <c r="K867" s="106"/>
      <c r="L867" s="107"/>
      <c r="M867" s="108"/>
      <c r="N867" s="164" t="s">
        <v>1045</v>
      </c>
    </row>
    <row r="868" spans="1:14" x14ac:dyDescent="0.2">
      <c r="A868" s="103">
        <f t="shared" si="202"/>
        <v>791</v>
      </c>
      <c r="B868" s="256"/>
      <c r="C868" s="104"/>
      <c r="D868" s="112" t="s">
        <v>1046</v>
      </c>
      <c r="E868" s="124">
        <v>406</v>
      </c>
      <c r="F868" s="124"/>
      <c r="G868" s="107">
        <f>H867+1</f>
        <v>10</v>
      </c>
      <c r="H868" s="107">
        <f>H867+I868</f>
        <v>26</v>
      </c>
      <c r="I868" s="111">
        <v>17</v>
      </c>
      <c r="J868" s="111" t="s">
        <v>15</v>
      </c>
      <c r="K868" s="124"/>
      <c r="L868" s="111"/>
      <c r="M868" s="108"/>
      <c r="N868" s="108" t="s">
        <v>1047</v>
      </c>
    </row>
    <row r="869" spans="1:14" x14ac:dyDescent="0.2">
      <c r="A869" s="103">
        <f t="shared" si="202"/>
        <v>792</v>
      </c>
      <c r="B869" s="256"/>
      <c r="C869" s="104"/>
      <c r="D869" s="112" t="s">
        <v>1048</v>
      </c>
      <c r="E869" s="124">
        <v>407</v>
      </c>
      <c r="F869" s="124"/>
      <c r="G869" s="107">
        <f>H868+1</f>
        <v>27</v>
      </c>
      <c r="H869" s="107">
        <f>H868+I869</f>
        <v>86</v>
      </c>
      <c r="I869" s="111">
        <v>60</v>
      </c>
      <c r="J869" s="111" t="s">
        <v>15</v>
      </c>
      <c r="K869" s="124"/>
      <c r="L869" s="111"/>
      <c r="M869" s="108"/>
      <c r="N869" s="108" t="s">
        <v>1049</v>
      </c>
    </row>
    <row r="870" spans="1:14" s="117" customFormat="1" x14ac:dyDescent="0.2">
      <c r="A870" s="103">
        <f t="shared" si="202"/>
        <v>793</v>
      </c>
      <c r="B870" s="256"/>
      <c r="C870" s="104"/>
      <c r="D870" s="112" t="s">
        <v>1050</v>
      </c>
      <c r="E870" s="124">
        <v>408</v>
      </c>
      <c r="F870" s="124"/>
      <c r="G870" s="107">
        <f>H869+1</f>
        <v>87</v>
      </c>
      <c r="H870" s="107">
        <f>H869+I870</f>
        <v>146</v>
      </c>
      <c r="I870" s="111">
        <v>60</v>
      </c>
      <c r="J870" s="111" t="s">
        <v>15</v>
      </c>
      <c r="K870" s="124"/>
      <c r="L870" s="111"/>
      <c r="M870" s="108"/>
      <c r="N870" s="108" t="s">
        <v>1051</v>
      </c>
    </row>
    <row r="871" spans="1:14" x14ac:dyDescent="0.2">
      <c r="A871" s="103">
        <f t="shared" si="202"/>
        <v>794</v>
      </c>
      <c r="B871" s="256"/>
      <c r="C871" s="104"/>
      <c r="D871" s="112" t="s">
        <v>1046</v>
      </c>
      <c r="E871" s="124" t="s">
        <v>1052</v>
      </c>
      <c r="F871" s="124"/>
      <c r="G871" s="107">
        <v>147</v>
      </c>
      <c r="H871" s="107">
        <v>168</v>
      </c>
      <c r="I871" s="111">
        <v>22</v>
      </c>
      <c r="J871" s="111" t="s">
        <v>15</v>
      </c>
      <c r="K871" s="124"/>
      <c r="L871" s="111"/>
      <c r="M871" s="108"/>
      <c r="N871" s="108" t="s">
        <v>1053</v>
      </c>
    </row>
    <row r="872" spans="1:14" ht="15" x14ac:dyDescent="0.2">
      <c r="A872" s="288">
        <f t="shared" si="202"/>
        <v>795</v>
      </c>
      <c r="B872" s="292"/>
      <c r="C872" s="293"/>
      <c r="D872" s="294" t="s">
        <v>28</v>
      </c>
      <c r="E872" s="289" t="s">
        <v>14</v>
      </c>
      <c r="F872" s="289"/>
      <c r="G872" s="290">
        <v>169</v>
      </c>
      <c r="H872" s="290">
        <v>600</v>
      </c>
      <c r="I872" s="290">
        <v>432</v>
      </c>
      <c r="J872" s="290" t="s">
        <v>15</v>
      </c>
      <c r="K872" s="289"/>
      <c r="L872" s="290"/>
      <c r="M872" s="291"/>
      <c r="N872" s="295" t="s">
        <v>29</v>
      </c>
    </row>
    <row r="873" spans="1:14" ht="14.45" customHeight="1" x14ac:dyDescent="0.2">
      <c r="A873" s="324"/>
      <c r="B873" s="325"/>
      <c r="C873" s="325"/>
      <c r="D873" s="325"/>
      <c r="E873" s="325"/>
      <c r="F873" s="325"/>
      <c r="G873" s="325"/>
      <c r="H873" s="325"/>
      <c r="I873" s="325"/>
      <c r="J873" s="325"/>
      <c r="K873" s="325"/>
      <c r="L873" s="325"/>
      <c r="M873" s="325"/>
      <c r="N873" s="326"/>
    </row>
    <row r="874" spans="1:14" x14ac:dyDescent="0.2">
      <c r="A874" s="103">
        <f>A872+1</f>
        <v>796</v>
      </c>
      <c r="B874" s="103"/>
      <c r="C874" s="163" t="s">
        <v>1054</v>
      </c>
      <c r="D874" s="164"/>
      <c r="E874" s="106" t="s">
        <v>14</v>
      </c>
      <c r="F874" s="106"/>
      <c r="G874" s="107">
        <f>$H$16+1</f>
        <v>7</v>
      </c>
      <c r="H874" s="107">
        <f>I874+$H$16</f>
        <v>9</v>
      </c>
      <c r="I874" s="107">
        <v>3</v>
      </c>
      <c r="J874" s="107" t="s">
        <v>18</v>
      </c>
      <c r="K874" s="106"/>
      <c r="L874" s="107"/>
      <c r="M874" s="108"/>
      <c r="N874" s="164" t="s">
        <v>1055</v>
      </c>
    </row>
    <row r="875" spans="1:14" x14ac:dyDescent="0.2">
      <c r="A875" s="103">
        <f t="shared" si="202"/>
        <v>797</v>
      </c>
      <c r="B875" s="256"/>
      <c r="C875" s="104"/>
      <c r="D875" s="112" t="s">
        <v>1056</v>
      </c>
      <c r="E875" s="124" t="s">
        <v>1057</v>
      </c>
      <c r="F875" s="124"/>
      <c r="G875" s="107">
        <f>H874+1</f>
        <v>10</v>
      </c>
      <c r="H875" s="107">
        <f>H874+I875</f>
        <v>29</v>
      </c>
      <c r="I875" s="111">
        <v>20</v>
      </c>
      <c r="J875" s="111" t="s">
        <v>15</v>
      </c>
      <c r="K875" s="124"/>
      <c r="L875" s="107"/>
      <c r="M875" s="108"/>
      <c r="N875" s="108"/>
    </row>
    <row r="876" spans="1:14" x14ac:dyDescent="0.2">
      <c r="A876" s="103">
        <f t="shared" si="202"/>
        <v>798</v>
      </c>
      <c r="B876" s="256"/>
      <c r="C876" s="104"/>
      <c r="D876" s="112" t="s">
        <v>1058</v>
      </c>
      <c r="E876" s="124" t="s">
        <v>1059</v>
      </c>
      <c r="F876" s="124"/>
      <c r="G876" s="107">
        <f>H875+1</f>
        <v>30</v>
      </c>
      <c r="H876" s="107">
        <f>H875+I876</f>
        <v>89</v>
      </c>
      <c r="I876" s="111">
        <v>60</v>
      </c>
      <c r="J876" s="111" t="s">
        <v>15</v>
      </c>
      <c r="K876" s="124"/>
      <c r="L876" s="107"/>
      <c r="M876" s="108"/>
      <c r="N876" s="108"/>
    </row>
    <row r="877" spans="1:14" ht="15" x14ac:dyDescent="0.2">
      <c r="A877" s="288">
        <f t="shared" si="202"/>
        <v>799</v>
      </c>
      <c r="B877" s="292"/>
      <c r="C877" s="293"/>
      <c r="D877" s="294" t="s">
        <v>28</v>
      </c>
      <c r="E877" s="289" t="s">
        <v>14</v>
      </c>
      <c r="F877" s="289"/>
      <c r="G877" s="290">
        <f>H876+1</f>
        <v>90</v>
      </c>
      <c r="H877" s="290">
        <v>600</v>
      </c>
      <c r="I877" s="290">
        <f>H877-H876</f>
        <v>511</v>
      </c>
      <c r="J877" s="290" t="s">
        <v>15</v>
      </c>
      <c r="K877" s="289"/>
      <c r="L877" s="290"/>
      <c r="M877" s="291"/>
      <c r="N877" s="295" t="s">
        <v>29</v>
      </c>
    </row>
    <row r="878" spans="1:14" ht="14.45" customHeight="1" x14ac:dyDescent="0.2">
      <c r="A878" s="324"/>
      <c r="B878" s="325"/>
      <c r="C878" s="325"/>
      <c r="D878" s="325"/>
      <c r="E878" s="325"/>
      <c r="F878" s="325"/>
      <c r="G878" s="325"/>
      <c r="H878" s="325"/>
      <c r="I878" s="325"/>
      <c r="J878" s="325"/>
      <c r="K878" s="325"/>
      <c r="L878" s="325"/>
      <c r="M878" s="325"/>
      <c r="N878" s="326"/>
    </row>
    <row r="879" spans="1:14" x14ac:dyDescent="0.2">
      <c r="A879" s="103">
        <f>A877+1</f>
        <v>800</v>
      </c>
      <c r="B879" s="103"/>
      <c r="C879" s="163" t="s">
        <v>1060</v>
      </c>
      <c r="D879" s="164"/>
      <c r="E879" s="106" t="s">
        <v>14</v>
      </c>
      <c r="F879" s="106"/>
      <c r="G879" s="107">
        <f>$H$16+1</f>
        <v>7</v>
      </c>
      <c r="H879" s="107">
        <f>I879+$H$16</f>
        <v>9</v>
      </c>
      <c r="I879" s="107">
        <v>3</v>
      </c>
      <c r="J879" s="107" t="s">
        <v>18</v>
      </c>
      <c r="K879" s="106"/>
      <c r="L879" s="107"/>
      <c r="M879" s="108"/>
      <c r="N879" s="164" t="s">
        <v>1061</v>
      </c>
    </row>
    <row r="880" spans="1:14" ht="101.45" customHeight="1" x14ac:dyDescent="0.2">
      <c r="A880" s="103">
        <f t="shared" si="202"/>
        <v>801</v>
      </c>
      <c r="B880" s="256"/>
      <c r="C880" s="104"/>
      <c r="D880" s="112" t="s">
        <v>1062</v>
      </c>
      <c r="E880" s="124" t="s">
        <v>1063</v>
      </c>
      <c r="F880" s="124"/>
      <c r="G880" s="107">
        <f>H879+1</f>
        <v>10</v>
      </c>
      <c r="H880" s="107">
        <f>H879+I880</f>
        <v>69</v>
      </c>
      <c r="I880" s="111">
        <v>60</v>
      </c>
      <c r="J880" s="111" t="s">
        <v>15</v>
      </c>
      <c r="K880" s="124"/>
      <c r="L880" s="111"/>
      <c r="M880" s="108"/>
      <c r="N880" s="108"/>
    </row>
    <row r="881" spans="1:14" ht="111" customHeight="1" x14ac:dyDescent="0.2">
      <c r="A881" s="103">
        <f t="shared" si="202"/>
        <v>802</v>
      </c>
      <c r="B881" s="256"/>
      <c r="C881" s="104"/>
      <c r="D881" s="112" t="s">
        <v>1064</v>
      </c>
      <c r="E881" s="124" t="s">
        <v>1065</v>
      </c>
      <c r="F881" s="124"/>
      <c r="G881" s="107">
        <f>H880+1</f>
        <v>70</v>
      </c>
      <c r="H881" s="107">
        <f>H880+I881</f>
        <v>70</v>
      </c>
      <c r="I881" s="111">
        <v>1</v>
      </c>
      <c r="J881" s="111" t="s">
        <v>18</v>
      </c>
      <c r="K881" s="124"/>
      <c r="L881" s="111"/>
      <c r="M881" s="108"/>
      <c r="N881" s="186" t="s">
        <v>1858</v>
      </c>
    </row>
    <row r="882" spans="1:14" ht="89.25" x14ac:dyDescent="0.2">
      <c r="A882" s="103">
        <f t="shared" si="202"/>
        <v>803</v>
      </c>
      <c r="B882" s="256"/>
      <c r="C882" s="104"/>
      <c r="D882" s="112" t="s">
        <v>1067</v>
      </c>
      <c r="E882" s="124" t="s">
        <v>1068</v>
      </c>
      <c r="F882" s="124"/>
      <c r="G882" s="107">
        <f>H881+1</f>
        <v>71</v>
      </c>
      <c r="H882" s="107">
        <f>H881+I882</f>
        <v>72</v>
      </c>
      <c r="I882" s="111">
        <v>2</v>
      </c>
      <c r="J882" s="111" t="s">
        <v>18</v>
      </c>
      <c r="K882" s="124"/>
      <c r="L882" s="111"/>
      <c r="M882" s="108"/>
      <c r="N882" s="252" t="s">
        <v>1859</v>
      </c>
    </row>
    <row r="883" spans="1:14" ht="15" x14ac:dyDescent="0.2">
      <c r="A883" s="288">
        <f t="shared" si="202"/>
        <v>804</v>
      </c>
      <c r="B883" s="292"/>
      <c r="C883" s="293"/>
      <c r="D883" s="294" t="s">
        <v>28</v>
      </c>
      <c r="E883" s="289" t="s">
        <v>14</v>
      </c>
      <c r="F883" s="289"/>
      <c r="G883" s="290">
        <f>H882+1</f>
        <v>73</v>
      </c>
      <c r="H883" s="290">
        <v>600</v>
      </c>
      <c r="I883" s="290">
        <f>H883-H882</f>
        <v>528</v>
      </c>
      <c r="J883" s="290" t="s">
        <v>15</v>
      </c>
      <c r="K883" s="289"/>
      <c r="L883" s="290"/>
      <c r="M883" s="291"/>
      <c r="N883" s="295" t="s">
        <v>29</v>
      </c>
    </row>
    <row r="884" spans="1:14" ht="14.45" customHeight="1" x14ac:dyDescent="0.2">
      <c r="A884" s="324"/>
      <c r="B884" s="325"/>
      <c r="C884" s="325"/>
      <c r="D884" s="325"/>
      <c r="E884" s="325"/>
      <c r="F884" s="325"/>
      <c r="G884" s="325"/>
      <c r="H884" s="325"/>
      <c r="I884" s="325"/>
      <c r="J884" s="325"/>
      <c r="K884" s="325"/>
      <c r="L884" s="325"/>
      <c r="M884" s="325"/>
      <c r="N884" s="326"/>
    </row>
    <row r="885" spans="1:14" x14ac:dyDescent="0.2">
      <c r="A885" s="103">
        <f>A883+1</f>
        <v>805</v>
      </c>
      <c r="B885" s="103"/>
      <c r="C885" s="163" t="s">
        <v>1069</v>
      </c>
      <c r="D885" s="164"/>
      <c r="E885" s="106" t="s">
        <v>14</v>
      </c>
      <c r="F885" s="106"/>
      <c r="G885" s="107">
        <f>$H$16+1</f>
        <v>7</v>
      </c>
      <c r="H885" s="107">
        <f>I885+$H$16</f>
        <v>9</v>
      </c>
      <c r="I885" s="107">
        <v>3</v>
      </c>
      <c r="J885" s="107" t="s">
        <v>18</v>
      </c>
      <c r="K885" s="106"/>
      <c r="L885" s="107"/>
      <c r="M885" s="108"/>
      <c r="N885" s="164" t="s">
        <v>1070</v>
      </c>
    </row>
    <row r="886" spans="1:14" ht="51" x14ac:dyDescent="0.2">
      <c r="A886" s="103">
        <f t="shared" si="202"/>
        <v>806</v>
      </c>
      <c r="B886" s="256"/>
      <c r="C886" s="104"/>
      <c r="D886" s="105" t="s">
        <v>73</v>
      </c>
      <c r="E886" s="106" t="s">
        <v>14</v>
      </c>
      <c r="F886" s="106"/>
      <c r="G886" s="107">
        <f>H885+1</f>
        <v>10</v>
      </c>
      <c r="H886" s="107">
        <f>H885+I886</f>
        <v>73</v>
      </c>
      <c r="I886" s="107">
        <v>64</v>
      </c>
      <c r="J886" s="111" t="s">
        <v>15</v>
      </c>
      <c r="K886" s="124"/>
      <c r="L886" s="107"/>
      <c r="M886" s="106"/>
      <c r="N886" s="109" t="s">
        <v>1071</v>
      </c>
    </row>
    <row r="887" spans="1:14" ht="25.5" x14ac:dyDescent="0.2">
      <c r="A887" s="103">
        <f t="shared" si="202"/>
        <v>807</v>
      </c>
      <c r="B887" s="256"/>
      <c r="C887" s="104"/>
      <c r="D887" s="105" t="s">
        <v>69</v>
      </c>
      <c r="E887" s="106" t="s">
        <v>14</v>
      </c>
      <c r="F887" s="106"/>
      <c r="G887" s="107">
        <f>H886+1</f>
        <v>74</v>
      </c>
      <c r="H887" s="107">
        <f>H886+I887</f>
        <v>75</v>
      </c>
      <c r="I887" s="107">
        <v>2</v>
      </c>
      <c r="J887" s="111" t="s">
        <v>15</v>
      </c>
      <c r="K887" s="124"/>
      <c r="L887" s="107"/>
      <c r="M887" s="106"/>
      <c r="N887" s="109" t="s">
        <v>1072</v>
      </c>
    </row>
    <row r="888" spans="1:14" ht="165.75" x14ac:dyDescent="0.2">
      <c r="A888" s="103">
        <f t="shared" si="202"/>
        <v>808</v>
      </c>
      <c r="B888" s="256"/>
      <c r="C888" s="104"/>
      <c r="D888" s="105" t="s">
        <v>71</v>
      </c>
      <c r="E888" s="106" t="s">
        <v>14</v>
      </c>
      <c r="F888" s="106"/>
      <c r="G888" s="107">
        <f t="shared" ref="G888:G903" si="215">H887+1</f>
        <v>76</v>
      </c>
      <c r="H888" s="107">
        <f t="shared" ref="H888:H902" si="216">H887+I888</f>
        <v>77</v>
      </c>
      <c r="I888" s="107">
        <v>2</v>
      </c>
      <c r="J888" s="111" t="s">
        <v>15</v>
      </c>
      <c r="K888" s="124"/>
      <c r="L888" s="107"/>
      <c r="M888" s="106"/>
      <c r="N888" s="109" t="s">
        <v>1073</v>
      </c>
    </row>
    <row r="889" spans="1:14" x14ac:dyDescent="0.2">
      <c r="A889" s="103">
        <f t="shared" si="202"/>
        <v>809</v>
      </c>
      <c r="B889" s="103"/>
      <c r="C889" s="112"/>
      <c r="D889" s="112" t="s">
        <v>8</v>
      </c>
      <c r="E889" s="106" t="s">
        <v>14</v>
      </c>
      <c r="F889" s="106"/>
      <c r="G889" s="107">
        <f t="shared" si="215"/>
        <v>78</v>
      </c>
      <c r="H889" s="107">
        <f t="shared" si="216"/>
        <v>80</v>
      </c>
      <c r="I889" s="107">
        <v>3</v>
      </c>
      <c r="J889" s="107" t="s">
        <v>18</v>
      </c>
      <c r="K889" s="106"/>
      <c r="L889" s="111"/>
      <c r="M889" s="108"/>
      <c r="N889" s="108"/>
    </row>
    <row r="890" spans="1:14" x14ac:dyDescent="0.2">
      <c r="A890" s="103">
        <f t="shared" si="202"/>
        <v>810</v>
      </c>
      <c r="B890" s="103"/>
      <c r="C890" s="112"/>
      <c r="D890" s="112" t="s">
        <v>1074</v>
      </c>
      <c r="E890" s="106" t="s">
        <v>14</v>
      </c>
      <c r="F890" s="106"/>
      <c r="G890" s="107">
        <f t="shared" si="215"/>
        <v>81</v>
      </c>
      <c r="H890" s="107">
        <f t="shared" si="216"/>
        <v>87</v>
      </c>
      <c r="I890" s="107">
        <v>7</v>
      </c>
      <c r="J890" s="107" t="s">
        <v>18</v>
      </c>
      <c r="K890" s="106"/>
      <c r="L890" s="111"/>
      <c r="M890" s="108"/>
      <c r="N890" s="108"/>
    </row>
    <row r="891" spans="1:14" x14ac:dyDescent="0.2">
      <c r="A891" s="103">
        <f t="shared" si="202"/>
        <v>811</v>
      </c>
      <c r="B891" s="103"/>
      <c r="C891" s="112"/>
      <c r="D891" s="112" t="s">
        <v>1075</v>
      </c>
      <c r="E891" s="106" t="s">
        <v>14</v>
      </c>
      <c r="F891" s="106"/>
      <c r="G891" s="107">
        <f t="shared" si="215"/>
        <v>88</v>
      </c>
      <c r="H891" s="107">
        <f t="shared" si="216"/>
        <v>88</v>
      </c>
      <c r="I891" s="107">
        <v>1</v>
      </c>
      <c r="J891" s="107" t="s">
        <v>18</v>
      </c>
      <c r="K891" s="106"/>
      <c r="L891" s="111"/>
      <c r="M891" s="108"/>
      <c r="N891" s="108"/>
    </row>
    <row r="892" spans="1:14" x14ac:dyDescent="0.2">
      <c r="A892" s="103">
        <f t="shared" si="202"/>
        <v>812</v>
      </c>
      <c r="B892" s="103"/>
      <c r="C892" s="112"/>
      <c r="D892" s="112" t="s">
        <v>1076</v>
      </c>
      <c r="E892" s="106" t="s">
        <v>14</v>
      </c>
      <c r="F892" s="106"/>
      <c r="G892" s="107">
        <f t="shared" si="215"/>
        <v>89</v>
      </c>
      <c r="H892" s="107">
        <f t="shared" si="216"/>
        <v>91</v>
      </c>
      <c r="I892" s="107">
        <v>3</v>
      </c>
      <c r="J892" s="107" t="s">
        <v>1077</v>
      </c>
      <c r="K892" s="106"/>
      <c r="L892" s="111"/>
      <c r="M892" s="108"/>
      <c r="N892" s="108"/>
    </row>
    <row r="893" spans="1:14" x14ac:dyDescent="0.2">
      <c r="A893" s="103">
        <f t="shared" si="202"/>
        <v>813</v>
      </c>
      <c r="B893" s="103"/>
      <c r="C893" s="112"/>
      <c r="D893" s="112" t="s">
        <v>1078</v>
      </c>
      <c r="E893" s="106" t="s">
        <v>14</v>
      </c>
      <c r="F893" s="106"/>
      <c r="G893" s="107">
        <f t="shared" si="215"/>
        <v>92</v>
      </c>
      <c r="H893" s="107">
        <f t="shared" si="216"/>
        <v>100</v>
      </c>
      <c r="I893" s="107">
        <v>9</v>
      </c>
      <c r="J893" s="107" t="s">
        <v>18</v>
      </c>
      <c r="K893" s="106"/>
      <c r="L893" s="111"/>
      <c r="M893" s="108"/>
      <c r="N893" s="108"/>
    </row>
    <row r="894" spans="1:14" x14ac:dyDescent="0.2">
      <c r="A894" s="103">
        <f t="shared" si="202"/>
        <v>814</v>
      </c>
      <c r="B894" s="103"/>
      <c r="C894" s="112"/>
      <c r="D894" s="112" t="s">
        <v>1079</v>
      </c>
      <c r="E894" s="106" t="s">
        <v>14</v>
      </c>
      <c r="F894" s="106"/>
      <c r="G894" s="107">
        <f t="shared" si="215"/>
        <v>101</v>
      </c>
      <c r="H894" s="107">
        <f t="shared" si="216"/>
        <v>101</v>
      </c>
      <c r="I894" s="107">
        <v>1</v>
      </c>
      <c r="J894" s="107" t="s">
        <v>18</v>
      </c>
      <c r="K894" s="106"/>
      <c r="L894" s="111"/>
      <c r="M894" s="108"/>
      <c r="N894" s="108"/>
    </row>
    <row r="895" spans="1:14" x14ac:dyDescent="0.2">
      <c r="A895" s="103">
        <f t="shared" si="202"/>
        <v>815</v>
      </c>
      <c r="B895" s="103"/>
      <c r="C895" s="112"/>
      <c r="D895" s="112" t="s">
        <v>1080</v>
      </c>
      <c r="E895" s="106" t="s">
        <v>14</v>
      </c>
      <c r="F895" s="106"/>
      <c r="G895" s="107">
        <f t="shared" si="215"/>
        <v>102</v>
      </c>
      <c r="H895" s="107">
        <f t="shared" si="216"/>
        <v>129</v>
      </c>
      <c r="I895" s="107">
        <v>28</v>
      </c>
      <c r="J895" s="107" t="s">
        <v>1077</v>
      </c>
      <c r="K895" s="106"/>
      <c r="L895" s="111"/>
      <c r="M895" s="108"/>
      <c r="N895" s="108"/>
    </row>
    <row r="896" spans="1:14" x14ac:dyDescent="0.2">
      <c r="A896" s="103">
        <f t="shared" si="202"/>
        <v>816</v>
      </c>
      <c r="B896" s="103"/>
      <c r="C896" s="112"/>
      <c r="D896" s="112" t="s">
        <v>1081</v>
      </c>
      <c r="E896" s="106" t="s">
        <v>14</v>
      </c>
      <c r="F896" s="106"/>
      <c r="G896" s="107">
        <f t="shared" si="215"/>
        <v>130</v>
      </c>
      <c r="H896" s="107">
        <f t="shared" si="216"/>
        <v>135</v>
      </c>
      <c r="I896" s="107">
        <v>6</v>
      </c>
      <c r="J896" s="107" t="s">
        <v>18</v>
      </c>
      <c r="K896" s="106"/>
      <c r="L896" s="107"/>
      <c r="M896" s="108"/>
      <c r="N896" s="108"/>
    </row>
    <row r="897" spans="1:14" x14ac:dyDescent="0.2">
      <c r="A897" s="103">
        <f t="shared" si="202"/>
        <v>817</v>
      </c>
      <c r="B897" s="103"/>
      <c r="C897" s="112"/>
      <c r="D897" s="112" t="s">
        <v>1082</v>
      </c>
      <c r="E897" s="106" t="s">
        <v>14</v>
      </c>
      <c r="F897" s="106"/>
      <c r="G897" s="107">
        <f t="shared" si="215"/>
        <v>136</v>
      </c>
      <c r="H897" s="107">
        <f t="shared" si="216"/>
        <v>136</v>
      </c>
      <c r="I897" s="107">
        <v>1</v>
      </c>
      <c r="J897" s="107" t="s">
        <v>18</v>
      </c>
      <c r="K897" s="106"/>
      <c r="L897" s="107"/>
      <c r="M897" s="108"/>
      <c r="N897" s="108"/>
    </row>
    <row r="898" spans="1:14" x14ac:dyDescent="0.2">
      <c r="A898" s="103">
        <f t="shared" si="202"/>
        <v>818</v>
      </c>
      <c r="B898" s="103"/>
      <c r="C898" s="112"/>
      <c r="D898" s="112" t="s">
        <v>1083</v>
      </c>
      <c r="E898" s="106" t="s">
        <v>14</v>
      </c>
      <c r="F898" s="106"/>
      <c r="G898" s="107">
        <f t="shared" si="215"/>
        <v>137</v>
      </c>
      <c r="H898" s="107">
        <f t="shared" si="216"/>
        <v>139</v>
      </c>
      <c r="I898" s="107">
        <v>3</v>
      </c>
      <c r="J898" s="107" t="s">
        <v>18</v>
      </c>
      <c r="K898" s="106"/>
      <c r="L898" s="107"/>
      <c r="M898" s="108"/>
      <c r="N898" s="108"/>
    </row>
    <row r="899" spans="1:14" x14ac:dyDescent="0.2">
      <c r="A899" s="103">
        <f t="shared" si="202"/>
        <v>819</v>
      </c>
      <c r="B899" s="103"/>
      <c r="C899" s="112"/>
      <c r="D899" s="112" t="s">
        <v>1084</v>
      </c>
      <c r="E899" s="106" t="s">
        <v>14</v>
      </c>
      <c r="F899" s="106"/>
      <c r="G899" s="107">
        <f t="shared" si="215"/>
        <v>140</v>
      </c>
      <c r="H899" s="107">
        <f t="shared" si="216"/>
        <v>142</v>
      </c>
      <c r="I899" s="107">
        <v>3</v>
      </c>
      <c r="J899" s="107" t="s">
        <v>18</v>
      </c>
      <c r="K899" s="106"/>
      <c r="L899" s="107"/>
      <c r="M899" s="108"/>
      <c r="N899" s="108"/>
    </row>
    <row r="900" spans="1:14" x14ac:dyDescent="0.2">
      <c r="A900" s="103">
        <f t="shared" si="202"/>
        <v>820</v>
      </c>
      <c r="B900" s="103"/>
      <c r="C900" s="112"/>
      <c r="D900" s="112" t="s">
        <v>1085</v>
      </c>
      <c r="E900" s="106" t="s">
        <v>14</v>
      </c>
      <c r="F900" s="106"/>
      <c r="G900" s="107">
        <f t="shared" si="215"/>
        <v>143</v>
      </c>
      <c r="H900" s="107">
        <f t="shared" si="216"/>
        <v>143</v>
      </c>
      <c r="I900" s="107">
        <v>1</v>
      </c>
      <c r="J900" s="107" t="s">
        <v>18</v>
      </c>
      <c r="K900" s="106"/>
      <c r="L900" s="107"/>
      <c r="M900" s="108"/>
      <c r="N900" s="108"/>
    </row>
    <row r="901" spans="1:14" x14ac:dyDescent="0.2">
      <c r="A901" s="103">
        <f t="shared" si="202"/>
        <v>821</v>
      </c>
      <c r="B901" s="103"/>
      <c r="C901" s="112"/>
      <c r="D901" s="112" t="s">
        <v>1086</v>
      </c>
      <c r="E901" s="106" t="s">
        <v>14</v>
      </c>
      <c r="F901" s="106"/>
      <c r="G901" s="107">
        <f t="shared" si="215"/>
        <v>144</v>
      </c>
      <c r="H901" s="107">
        <f t="shared" si="216"/>
        <v>171</v>
      </c>
      <c r="I901" s="107">
        <v>28</v>
      </c>
      <c r="J901" s="107" t="s">
        <v>1077</v>
      </c>
      <c r="K901" s="106"/>
      <c r="L901" s="107"/>
      <c r="M901" s="108"/>
      <c r="N901" s="108"/>
    </row>
    <row r="902" spans="1:14" x14ac:dyDescent="0.2">
      <c r="A902" s="103">
        <f t="shared" si="202"/>
        <v>822</v>
      </c>
      <c r="B902" s="103"/>
      <c r="C902" s="112"/>
      <c r="D902" s="112" t="s">
        <v>1087</v>
      </c>
      <c r="E902" s="106" t="s">
        <v>14</v>
      </c>
      <c r="F902" s="106"/>
      <c r="G902" s="107">
        <f t="shared" si="215"/>
        <v>172</v>
      </c>
      <c r="H902" s="107">
        <f t="shared" si="216"/>
        <v>181</v>
      </c>
      <c r="I902" s="107">
        <v>10</v>
      </c>
      <c r="J902" s="107" t="s">
        <v>1077</v>
      </c>
      <c r="K902" s="106"/>
      <c r="L902" s="107"/>
      <c r="M902" s="108"/>
      <c r="N902" s="108"/>
    </row>
    <row r="903" spans="1:14" ht="15" x14ac:dyDescent="0.2">
      <c r="A903" s="288">
        <f t="shared" si="202"/>
        <v>823</v>
      </c>
      <c r="B903" s="292"/>
      <c r="C903" s="293"/>
      <c r="D903" s="294" t="s">
        <v>28</v>
      </c>
      <c r="E903" s="289" t="s">
        <v>14</v>
      </c>
      <c r="F903" s="289"/>
      <c r="G903" s="290">
        <f t="shared" si="215"/>
        <v>182</v>
      </c>
      <c r="H903" s="290">
        <v>600</v>
      </c>
      <c r="I903" s="290">
        <f>H903-H902</f>
        <v>419</v>
      </c>
      <c r="J903" s="290" t="s">
        <v>15</v>
      </c>
      <c r="K903" s="289"/>
      <c r="L903" s="290"/>
      <c r="M903" s="291"/>
      <c r="N903" s="295" t="s">
        <v>29</v>
      </c>
    </row>
    <row r="904" spans="1:14" ht="14.45" customHeight="1" x14ac:dyDescent="0.2">
      <c r="A904" s="324"/>
      <c r="B904" s="325"/>
      <c r="C904" s="325"/>
      <c r="D904" s="325"/>
      <c r="E904" s="325"/>
      <c r="F904" s="325"/>
      <c r="G904" s="325"/>
      <c r="H904" s="325"/>
      <c r="I904" s="325"/>
      <c r="J904" s="325"/>
      <c r="K904" s="325"/>
      <c r="L904" s="325"/>
      <c r="M904" s="325"/>
      <c r="N904" s="326"/>
    </row>
    <row r="905" spans="1:14" x14ac:dyDescent="0.2">
      <c r="A905" s="103">
        <f>A903+1</f>
        <v>824</v>
      </c>
      <c r="B905" s="103"/>
      <c r="C905" s="163" t="s">
        <v>1088</v>
      </c>
      <c r="D905" s="164"/>
      <c r="E905" s="106" t="s">
        <v>14</v>
      </c>
      <c r="F905" s="106"/>
      <c r="G905" s="107">
        <f>$H$16+1</f>
        <v>7</v>
      </c>
      <c r="H905" s="107">
        <f>I905+$H$16</f>
        <v>9</v>
      </c>
      <c r="I905" s="107">
        <v>3</v>
      </c>
      <c r="J905" s="107" t="s">
        <v>18</v>
      </c>
      <c r="K905" s="106"/>
      <c r="L905" s="107"/>
      <c r="M905" s="108"/>
      <c r="N905" s="164" t="s">
        <v>1089</v>
      </c>
    </row>
    <row r="906" spans="1:14" ht="51" x14ac:dyDescent="0.2">
      <c r="A906" s="103">
        <f t="shared" si="202"/>
        <v>825</v>
      </c>
      <c r="B906" s="256"/>
      <c r="C906" s="104"/>
      <c r="D906" s="105" t="s">
        <v>73</v>
      </c>
      <c r="E906" s="106" t="s">
        <v>14</v>
      </c>
      <c r="F906" s="106"/>
      <c r="G906" s="107">
        <f>H905+1</f>
        <v>10</v>
      </c>
      <c r="H906" s="107">
        <f>H905+I906</f>
        <v>73</v>
      </c>
      <c r="I906" s="107">
        <v>64</v>
      </c>
      <c r="J906" s="111" t="s">
        <v>15</v>
      </c>
      <c r="K906" s="124"/>
      <c r="L906" s="107"/>
      <c r="M906" s="106"/>
      <c r="N906" s="109" t="s">
        <v>1071</v>
      </c>
    </row>
    <row r="907" spans="1:14" ht="180" customHeight="1" x14ac:dyDescent="0.2">
      <c r="A907" s="103">
        <f t="shared" ref="A907:A941" si="217">A906+1</f>
        <v>826</v>
      </c>
      <c r="B907" s="256"/>
      <c r="C907" s="104"/>
      <c r="D907" s="105" t="s">
        <v>69</v>
      </c>
      <c r="E907" s="106" t="s">
        <v>14</v>
      </c>
      <c r="F907" s="106"/>
      <c r="G907" s="107">
        <f>H906+1</f>
        <v>74</v>
      </c>
      <c r="H907" s="107">
        <f>H906+I907</f>
        <v>75</v>
      </c>
      <c r="I907" s="107">
        <v>2</v>
      </c>
      <c r="J907" s="111" t="s">
        <v>15</v>
      </c>
      <c r="K907" s="124"/>
      <c r="L907" s="107"/>
      <c r="M907" s="106"/>
      <c r="N907" s="109" t="s">
        <v>1072</v>
      </c>
    </row>
    <row r="908" spans="1:14" ht="15" customHeight="1" x14ac:dyDescent="0.2">
      <c r="A908" s="103">
        <f t="shared" si="217"/>
        <v>827</v>
      </c>
      <c r="B908" s="256"/>
      <c r="C908" s="104"/>
      <c r="D908" s="105" t="s">
        <v>71</v>
      </c>
      <c r="E908" s="106" t="s">
        <v>14</v>
      </c>
      <c r="F908" s="106"/>
      <c r="G908" s="107">
        <f>H906+1</f>
        <v>74</v>
      </c>
      <c r="H908" s="107">
        <f>H907+I908</f>
        <v>77</v>
      </c>
      <c r="I908" s="107">
        <v>2</v>
      </c>
      <c r="J908" s="111" t="s">
        <v>15</v>
      </c>
      <c r="K908" s="124"/>
      <c r="L908" s="107"/>
      <c r="M908" s="106"/>
      <c r="N908" s="109" t="s">
        <v>1073</v>
      </c>
    </row>
    <row r="909" spans="1:14" x14ac:dyDescent="0.2">
      <c r="A909" s="103">
        <f t="shared" si="217"/>
        <v>828</v>
      </c>
      <c r="B909" s="103"/>
      <c r="C909" s="112"/>
      <c r="D909" s="112" t="s">
        <v>1090</v>
      </c>
      <c r="E909" s="106" t="s">
        <v>14</v>
      </c>
      <c r="F909" s="106"/>
      <c r="G909" s="107">
        <f>H908+1</f>
        <v>78</v>
      </c>
      <c r="H909" s="107">
        <f t="shared" ref="H909:H940" si="218">H908+I909</f>
        <v>87</v>
      </c>
      <c r="I909" s="107">
        <v>10</v>
      </c>
      <c r="J909" s="107" t="s">
        <v>1077</v>
      </c>
      <c r="K909" s="106"/>
      <c r="L909" s="111"/>
      <c r="M909" s="108"/>
      <c r="N909" s="108"/>
    </row>
    <row r="910" spans="1:14" ht="15" customHeight="1" x14ac:dyDescent="0.2">
      <c r="A910" s="103">
        <f t="shared" si="217"/>
        <v>829</v>
      </c>
      <c r="B910" s="103"/>
      <c r="C910" s="112"/>
      <c r="D910" s="112" t="s">
        <v>1091</v>
      </c>
      <c r="E910" s="106" t="s">
        <v>14</v>
      </c>
      <c r="F910" s="106"/>
      <c r="G910" s="107">
        <f t="shared" ref="G910:G941" si="219">H909+1</f>
        <v>88</v>
      </c>
      <c r="H910" s="107">
        <f t="shared" si="218"/>
        <v>90</v>
      </c>
      <c r="I910" s="107">
        <v>3</v>
      </c>
      <c r="J910" s="107" t="s">
        <v>1077</v>
      </c>
      <c r="K910" s="106"/>
      <c r="L910" s="111"/>
      <c r="M910" s="108"/>
      <c r="N910" s="108"/>
    </row>
    <row r="911" spans="1:14" x14ac:dyDescent="0.2">
      <c r="A911" s="103">
        <f t="shared" si="217"/>
        <v>830</v>
      </c>
      <c r="B911" s="103"/>
      <c r="C911" s="112"/>
      <c r="D911" s="112" t="s">
        <v>1092</v>
      </c>
      <c r="E911" s="106" t="s">
        <v>14</v>
      </c>
      <c r="F911" s="106"/>
      <c r="G911" s="107">
        <f t="shared" si="219"/>
        <v>91</v>
      </c>
      <c r="H911" s="107">
        <f t="shared" si="218"/>
        <v>98</v>
      </c>
      <c r="I911" s="107">
        <v>8</v>
      </c>
      <c r="J911" s="107" t="s">
        <v>1077</v>
      </c>
      <c r="K911" s="106"/>
      <c r="L911" s="111"/>
      <c r="M911" s="108"/>
      <c r="N911" s="108"/>
    </row>
    <row r="912" spans="1:14" x14ac:dyDescent="0.2">
      <c r="A912" s="103">
        <f t="shared" si="217"/>
        <v>831</v>
      </c>
      <c r="B912" s="103"/>
      <c r="C912" s="112"/>
      <c r="D912" s="112" t="s">
        <v>1093</v>
      </c>
      <c r="E912" s="106" t="s">
        <v>14</v>
      </c>
      <c r="F912" s="106"/>
      <c r="G912" s="107">
        <f t="shared" si="219"/>
        <v>99</v>
      </c>
      <c r="H912" s="107">
        <f t="shared" si="218"/>
        <v>126</v>
      </c>
      <c r="I912" s="107">
        <v>28</v>
      </c>
      <c r="J912" s="107" t="s">
        <v>1077</v>
      </c>
      <c r="K912" s="106"/>
      <c r="L912" s="111"/>
      <c r="M912" s="108"/>
      <c r="N912" s="108"/>
    </row>
    <row r="913" spans="1:14" x14ac:dyDescent="0.2">
      <c r="A913" s="103">
        <f t="shared" si="217"/>
        <v>832</v>
      </c>
      <c r="B913" s="103"/>
      <c r="C913" s="112"/>
      <c r="D913" s="112" t="s">
        <v>1094</v>
      </c>
      <c r="E913" s="106" t="s">
        <v>14</v>
      </c>
      <c r="F913" s="106"/>
      <c r="G913" s="107">
        <f t="shared" si="219"/>
        <v>127</v>
      </c>
      <c r="H913" s="107">
        <f t="shared" si="218"/>
        <v>128</v>
      </c>
      <c r="I913" s="107">
        <v>2</v>
      </c>
      <c r="J913" s="107" t="s">
        <v>18</v>
      </c>
      <c r="K913" s="106"/>
      <c r="L913" s="111"/>
      <c r="M913" s="108"/>
      <c r="N913" s="108"/>
    </row>
    <row r="914" spans="1:14" x14ac:dyDescent="0.2">
      <c r="A914" s="103">
        <f t="shared" si="217"/>
        <v>833</v>
      </c>
      <c r="B914" s="103"/>
      <c r="C914" s="112"/>
      <c r="D914" s="112" t="s">
        <v>1095</v>
      </c>
      <c r="E914" s="106" t="s">
        <v>14</v>
      </c>
      <c r="F914" s="106"/>
      <c r="G914" s="107">
        <f t="shared" si="219"/>
        <v>129</v>
      </c>
      <c r="H914" s="107">
        <f t="shared" si="218"/>
        <v>136</v>
      </c>
      <c r="I914" s="107">
        <v>8</v>
      </c>
      <c r="J914" s="107" t="s">
        <v>1077</v>
      </c>
      <c r="K914" s="106"/>
      <c r="L914" s="111"/>
      <c r="M914" s="108"/>
      <c r="N914" s="108"/>
    </row>
    <row r="915" spans="1:14" ht="15" customHeight="1" x14ac:dyDescent="0.2">
      <c r="A915" s="103">
        <f t="shared" si="217"/>
        <v>834</v>
      </c>
      <c r="B915" s="103"/>
      <c r="C915" s="112"/>
      <c r="D915" s="112" t="s">
        <v>1096</v>
      </c>
      <c r="E915" s="106" t="s">
        <v>14</v>
      </c>
      <c r="F915" s="106"/>
      <c r="G915" s="107">
        <f t="shared" si="219"/>
        <v>137</v>
      </c>
      <c r="H915" s="107">
        <f t="shared" si="218"/>
        <v>153</v>
      </c>
      <c r="I915" s="107">
        <v>17</v>
      </c>
      <c r="J915" s="107" t="s">
        <v>1077</v>
      </c>
      <c r="K915" s="106"/>
      <c r="L915" s="111"/>
      <c r="M915" s="108"/>
      <c r="N915" s="108"/>
    </row>
    <row r="916" spans="1:14" ht="15" customHeight="1" x14ac:dyDescent="0.2">
      <c r="A916" s="103">
        <f t="shared" si="217"/>
        <v>835</v>
      </c>
      <c r="B916" s="103"/>
      <c r="C916" s="112"/>
      <c r="D916" s="112" t="s">
        <v>1097</v>
      </c>
      <c r="E916" s="106" t="s">
        <v>14</v>
      </c>
      <c r="F916" s="106"/>
      <c r="G916" s="107">
        <f t="shared" si="219"/>
        <v>154</v>
      </c>
      <c r="H916" s="107">
        <f t="shared" si="218"/>
        <v>162</v>
      </c>
      <c r="I916" s="107">
        <v>9</v>
      </c>
      <c r="J916" s="107" t="s">
        <v>18</v>
      </c>
      <c r="K916" s="106"/>
      <c r="L916" s="107"/>
      <c r="M916" s="108"/>
      <c r="N916" s="108"/>
    </row>
    <row r="917" spans="1:14" ht="15" customHeight="1" x14ac:dyDescent="0.2">
      <c r="A917" s="103">
        <f t="shared" si="217"/>
        <v>836</v>
      </c>
      <c r="B917" s="103"/>
      <c r="C917" s="112"/>
      <c r="D917" s="112" t="s">
        <v>1098</v>
      </c>
      <c r="E917" s="106" t="s">
        <v>14</v>
      </c>
      <c r="F917" s="106"/>
      <c r="G917" s="107">
        <f t="shared" si="219"/>
        <v>163</v>
      </c>
      <c r="H917" s="107">
        <f t="shared" si="218"/>
        <v>165</v>
      </c>
      <c r="I917" s="107">
        <v>3</v>
      </c>
      <c r="J917" s="107" t="s">
        <v>18</v>
      </c>
      <c r="K917" s="106"/>
      <c r="L917" s="107"/>
      <c r="M917" s="108"/>
      <c r="N917" s="108"/>
    </row>
    <row r="918" spans="1:14" x14ac:dyDescent="0.2">
      <c r="A918" s="103">
        <f t="shared" si="217"/>
        <v>837</v>
      </c>
      <c r="B918" s="103"/>
      <c r="C918" s="112"/>
      <c r="D918" s="112" t="s">
        <v>1099</v>
      </c>
      <c r="E918" s="106" t="s">
        <v>14</v>
      </c>
      <c r="F918" s="106"/>
      <c r="G918" s="107">
        <f t="shared" si="219"/>
        <v>166</v>
      </c>
      <c r="H918" s="107">
        <f t="shared" si="218"/>
        <v>168</v>
      </c>
      <c r="I918" s="107">
        <v>3</v>
      </c>
      <c r="J918" s="107" t="s">
        <v>18</v>
      </c>
      <c r="K918" s="106"/>
      <c r="L918" s="107"/>
      <c r="M918" s="108"/>
      <c r="N918" s="108"/>
    </row>
    <row r="919" spans="1:14" ht="15" customHeight="1" x14ac:dyDescent="0.2">
      <c r="A919" s="103">
        <f t="shared" si="217"/>
        <v>838</v>
      </c>
      <c r="B919" s="103"/>
      <c r="C919" s="112"/>
      <c r="D919" s="112" t="s">
        <v>1100</v>
      </c>
      <c r="E919" s="106" t="s">
        <v>14</v>
      </c>
      <c r="F919" s="106"/>
      <c r="G919" s="107">
        <f t="shared" si="219"/>
        <v>169</v>
      </c>
      <c r="H919" s="107">
        <f t="shared" si="218"/>
        <v>169</v>
      </c>
      <c r="I919" s="107">
        <v>1</v>
      </c>
      <c r="J919" s="107" t="s">
        <v>18</v>
      </c>
      <c r="K919" s="106"/>
      <c r="L919" s="107"/>
      <c r="M919" s="108"/>
      <c r="N919" s="108"/>
    </row>
    <row r="920" spans="1:14" ht="15" customHeight="1" x14ac:dyDescent="0.2">
      <c r="A920" s="103">
        <f t="shared" si="217"/>
        <v>839</v>
      </c>
      <c r="B920" s="103"/>
      <c r="C920" s="112"/>
      <c r="D920" s="112" t="s">
        <v>1101</v>
      </c>
      <c r="E920" s="106" t="s">
        <v>14</v>
      </c>
      <c r="F920" s="106"/>
      <c r="G920" s="107">
        <f t="shared" si="219"/>
        <v>170</v>
      </c>
      <c r="H920" s="107">
        <f t="shared" si="218"/>
        <v>171</v>
      </c>
      <c r="I920" s="107">
        <v>2</v>
      </c>
      <c r="J920" s="107" t="s">
        <v>18</v>
      </c>
      <c r="K920" s="106"/>
      <c r="L920" s="107"/>
      <c r="M920" s="108"/>
      <c r="N920" s="108"/>
    </row>
    <row r="921" spans="1:14" ht="15" customHeight="1" x14ac:dyDescent="0.2">
      <c r="A921" s="103">
        <f t="shared" si="217"/>
        <v>840</v>
      </c>
      <c r="B921" s="103"/>
      <c r="C921" s="112"/>
      <c r="D921" s="112" t="s">
        <v>1102</v>
      </c>
      <c r="E921" s="106" t="s">
        <v>14</v>
      </c>
      <c r="F921" s="106"/>
      <c r="G921" s="107">
        <f t="shared" si="219"/>
        <v>172</v>
      </c>
      <c r="H921" s="107">
        <f t="shared" si="218"/>
        <v>174</v>
      </c>
      <c r="I921" s="107">
        <v>3</v>
      </c>
      <c r="J921" s="107" t="s">
        <v>18</v>
      </c>
      <c r="K921" s="106"/>
      <c r="L921" s="107"/>
      <c r="M921" s="108"/>
      <c r="N921" s="108"/>
    </row>
    <row r="922" spans="1:14" ht="15" customHeight="1" x14ac:dyDescent="0.2">
      <c r="A922" s="103">
        <f t="shared" si="217"/>
        <v>841</v>
      </c>
      <c r="B922" s="103"/>
      <c r="C922" s="112"/>
      <c r="D922" s="112" t="s">
        <v>1103</v>
      </c>
      <c r="E922" s="106" t="s">
        <v>14</v>
      </c>
      <c r="F922" s="106"/>
      <c r="G922" s="107">
        <f t="shared" si="219"/>
        <v>175</v>
      </c>
      <c r="H922" s="107">
        <f t="shared" si="218"/>
        <v>179</v>
      </c>
      <c r="I922" s="107">
        <v>5</v>
      </c>
      <c r="J922" s="107" t="s">
        <v>18</v>
      </c>
      <c r="K922" s="106"/>
      <c r="L922" s="107"/>
      <c r="M922" s="108"/>
      <c r="N922" s="108"/>
    </row>
    <row r="923" spans="1:14" ht="15" customHeight="1" x14ac:dyDescent="0.2">
      <c r="A923" s="103">
        <f t="shared" si="217"/>
        <v>842</v>
      </c>
      <c r="B923" s="103"/>
      <c r="C923" s="112"/>
      <c r="D923" s="112" t="s">
        <v>1104</v>
      </c>
      <c r="E923" s="106" t="s">
        <v>14</v>
      </c>
      <c r="F923" s="106"/>
      <c r="G923" s="107">
        <f t="shared" si="219"/>
        <v>180</v>
      </c>
      <c r="H923" s="107">
        <f t="shared" si="218"/>
        <v>183</v>
      </c>
      <c r="I923" s="107">
        <v>4</v>
      </c>
      <c r="J923" s="107" t="s">
        <v>18</v>
      </c>
      <c r="K923" s="106"/>
      <c r="L923" s="107"/>
      <c r="M923" s="108"/>
      <c r="N923" s="108"/>
    </row>
    <row r="924" spans="1:14" ht="15" customHeight="1" x14ac:dyDescent="0.2">
      <c r="A924" s="103">
        <f t="shared" si="217"/>
        <v>843</v>
      </c>
      <c r="B924" s="103"/>
      <c r="C924" s="112"/>
      <c r="D924" s="112" t="s">
        <v>1105</v>
      </c>
      <c r="E924" s="106" t="s">
        <v>14</v>
      </c>
      <c r="F924" s="106"/>
      <c r="G924" s="107">
        <f t="shared" si="219"/>
        <v>184</v>
      </c>
      <c r="H924" s="107">
        <f t="shared" si="218"/>
        <v>187</v>
      </c>
      <c r="I924" s="107">
        <v>4</v>
      </c>
      <c r="J924" s="107" t="s">
        <v>18</v>
      </c>
      <c r="K924" s="106"/>
      <c r="L924" s="107"/>
      <c r="M924" s="108"/>
      <c r="N924" s="108"/>
    </row>
    <row r="925" spans="1:14" ht="15" customHeight="1" x14ac:dyDescent="0.2">
      <c r="A925" s="103">
        <f t="shared" si="217"/>
        <v>844</v>
      </c>
      <c r="B925" s="103"/>
      <c r="C925" s="112"/>
      <c r="D925" s="112" t="s">
        <v>1106</v>
      </c>
      <c r="E925" s="106" t="s">
        <v>14</v>
      </c>
      <c r="F925" s="106"/>
      <c r="G925" s="107">
        <f t="shared" si="219"/>
        <v>188</v>
      </c>
      <c r="H925" s="107">
        <f t="shared" si="218"/>
        <v>189</v>
      </c>
      <c r="I925" s="107">
        <v>2</v>
      </c>
      <c r="J925" s="107" t="s">
        <v>18</v>
      </c>
      <c r="K925" s="106"/>
      <c r="L925" s="107"/>
      <c r="M925" s="108"/>
      <c r="N925" s="108"/>
    </row>
    <row r="926" spans="1:14" ht="15" customHeight="1" x14ac:dyDescent="0.2">
      <c r="A926" s="103">
        <f t="shared" si="217"/>
        <v>845</v>
      </c>
      <c r="B926" s="103"/>
      <c r="C926" s="112"/>
      <c r="D926" s="112" t="s">
        <v>1107</v>
      </c>
      <c r="E926" s="106" t="s">
        <v>14</v>
      </c>
      <c r="F926" s="106"/>
      <c r="G926" s="107">
        <f t="shared" si="219"/>
        <v>190</v>
      </c>
      <c r="H926" s="107">
        <f t="shared" si="218"/>
        <v>192</v>
      </c>
      <c r="I926" s="107">
        <v>3</v>
      </c>
      <c r="J926" s="107" t="s">
        <v>18</v>
      </c>
      <c r="K926" s="106"/>
      <c r="L926" s="107"/>
      <c r="M926" s="108"/>
      <c r="N926" s="108"/>
    </row>
    <row r="927" spans="1:14" ht="15" customHeight="1" x14ac:dyDescent="0.2">
      <c r="A927" s="103">
        <f t="shared" si="217"/>
        <v>846</v>
      </c>
      <c r="B927" s="103"/>
      <c r="C927" s="112"/>
      <c r="D927" s="112" t="s">
        <v>1108</v>
      </c>
      <c r="E927" s="106" t="s">
        <v>14</v>
      </c>
      <c r="F927" s="106"/>
      <c r="G927" s="107">
        <f t="shared" si="219"/>
        <v>193</v>
      </c>
      <c r="H927" s="107">
        <f t="shared" si="218"/>
        <v>195</v>
      </c>
      <c r="I927" s="107">
        <v>3</v>
      </c>
      <c r="J927" s="107" t="s">
        <v>18</v>
      </c>
      <c r="K927" s="106"/>
      <c r="L927" s="107"/>
      <c r="M927" s="108"/>
      <c r="N927" s="108"/>
    </row>
    <row r="928" spans="1:14" ht="15" customHeight="1" x14ac:dyDescent="0.2">
      <c r="A928" s="103">
        <f t="shared" si="217"/>
        <v>847</v>
      </c>
      <c r="B928" s="103"/>
      <c r="C928" s="112"/>
      <c r="D928" s="112" t="s">
        <v>1086</v>
      </c>
      <c r="E928" s="106" t="s">
        <v>14</v>
      </c>
      <c r="F928" s="106"/>
      <c r="G928" s="107">
        <f t="shared" si="219"/>
        <v>196</v>
      </c>
      <c r="H928" s="107">
        <f t="shared" si="218"/>
        <v>199</v>
      </c>
      <c r="I928" s="107">
        <v>4</v>
      </c>
      <c r="J928" s="107" t="s">
        <v>1077</v>
      </c>
      <c r="K928" s="106"/>
      <c r="L928" s="107"/>
      <c r="M928" s="108"/>
      <c r="N928" s="108"/>
    </row>
    <row r="929" spans="1:14" x14ac:dyDescent="0.2">
      <c r="A929" s="103">
        <f t="shared" si="217"/>
        <v>848</v>
      </c>
      <c r="B929" s="103"/>
      <c r="C929" s="112"/>
      <c r="D929" s="112" t="s">
        <v>1109</v>
      </c>
      <c r="E929" s="106" t="s">
        <v>14</v>
      </c>
      <c r="F929" s="106"/>
      <c r="G929" s="107">
        <f t="shared" si="219"/>
        <v>200</v>
      </c>
      <c r="H929" s="107">
        <f t="shared" si="218"/>
        <v>207</v>
      </c>
      <c r="I929" s="107">
        <v>8</v>
      </c>
      <c r="J929" s="107" t="s">
        <v>1077</v>
      </c>
      <c r="K929" s="106"/>
      <c r="L929" s="107"/>
      <c r="M929" s="108"/>
      <c r="N929" s="108"/>
    </row>
    <row r="930" spans="1:14" ht="15" customHeight="1" x14ac:dyDescent="0.2">
      <c r="A930" s="103">
        <f t="shared" si="217"/>
        <v>849</v>
      </c>
      <c r="B930" s="103"/>
      <c r="C930" s="112"/>
      <c r="D930" s="112" t="s">
        <v>1110</v>
      </c>
      <c r="E930" s="106" t="s">
        <v>14</v>
      </c>
      <c r="F930" s="106"/>
      <c r="G930" s="107">
        <f t="shared" si="219"/>
        <v>208</v>
      </c>
      <c r="H930" s="107">
        <f t="shared" si="218"/>
        <v>220</v>
      </c>
      <c r="I930" s="107">
        <v>13</v>
      </c>
      <c r="J930" s="107" t="s">
        <v>18</v>
      </c>
      <c r="K930" s="106"/>
      <c r="L930" s="107"/>
      <c r="M930" s="108"/>
      <c r="N930" s="108"/>
    </row>
    <row r="931" spans="1:14" ht="15" customHeight="1" x14ac:dyDescent="0.2">
      <c r="A931" s="103">
        <f t="shared" si="217"/>
        <v>850</v>
      </c>
      <c r="B931" s="103"/>
      <c r="C931" s="112"/>
      <c r="D931" s="112" t="s">
        <v>1111</v>
      </c>
      <c r="E931" s="106" t="s">
        <v>14</v>
      </c>
      <c r="F931" s="106"/>
      <c r="G931" s="107">
        <f t="shared" si="219"/>
        <v>221</v>
      </c>
      <c r="H931" s="107">
        <f t="shared" si="218"/>
        <v>226</v>
      </c>
      <c r="I931" s="107">
        <v>6</v>
      </c>
      <c r="J931" s="107" t="s">
        <v>1077</v>
      </c>
      <c r="K931" s="106"/>
      <c r="L931" s="107"/>
      <c r="M931" s="108"/>
      <c r="N931" s="108"/>
    </row>
    <row r="932" spans="1:14" ht="15" customHeight="1" x14ac:dyDescent="0.2">
      <c r="A932" s="103">
        <f t="shared" si="217"/>
        <v>851</v>
      </c>
      <c r="B932" s="103"/>
      <c r="C932" s="112"/>
      <c r="D932" s="112" t="s">
        <v>1112</v>
      </c>
      <c r="E932" s="106" t="s">
        <v>14</v>
      </c>
      <c r="F932" s="106"/>
      <c r="G932" s="107">
        <f t="shared" si="219"/>
        <v>227</v>
      </c>
      <c r="H932" s="107">
        <f t="shared" si="218"/>
        <v>228</v>
      </c>
      <c r="I932" s="107">
        <v>2</v>
      </c>
      <c r="J932" s="107" t="s">
        <v>18</v>
      </c>
      <c r="K932" s="106"/>
      <c r="L932" s="107"/>
      <c r="M932" s="108"/>
      <c r="N932" s="108"/>
    </row>
    <row r="933" spans="1:14" ht="15" customHeight="1" x14ac:dyDescent="0.2">
      <c r="A933" s="103">
        <f t="shared" si="217"/>
        <v>852</v>
      </c>
      <c r="B933" s="103"/>
      <c r="C933" s="112"/>
      <c r="D933" s="112" t="s">
        <v>1113</v>
      </c>
      <c r="E933" s="106" t="s">
        <v>14</v>
      </c>
      <c r="F933" s="106"/>
      <c r="G933" s="107">
        <f t="shared" si="219"/>
        <v>229</v>
      </c>
      <c r="H933" s="107">
        <f t="shared" si="218"/>
        <v>234</v>
      </c>
      <c r="I933" s="107">
        <v>6</v>
      </c>
      <c r="J933" s="107" t="s">
        <v>18</v>
      </c>
      <c r="K933" s="106"/>
      <c r="L933" s="107"/>
      <c r="M933" s="108"/>
      <c r="N933" s="108"/>
    </row>
    <row r="934" spans="1:14" ht="15" customHeight="1" x14ac:dyDescent="0.2">
      <c r="A934" s="103">
        <f t="shared" si="217"/>
        <v>853</v>
      </c>
      <c r="B934" s="103"/>
      <c r="C934" s="112"/>
      <c r="D934" s="112" t="s">
        <v>1114</v>
      </c>
      <c r="E934" s="106" t="s">
        <v>14</v>
      </c>
      <c r="F934" s="106"/>
      <c r="G934" s="107">
        <f t="shared" si="219"/>
        <v>235</v>
      </c>
      <c r="H934" s="107">
        <f t="shared" si="218"/>
        <v>238</v>
      </c>
      <c r="I934" s="107">
        <v>4</v>
      </c>
      <c r="J934" s="107" t="s">
        <v>18</v>
      </c>
      <c r="K934" s="106"/>
      <c r="L934" s="107"/>
      <c r="M934" s="108"/>
      <c r="N934" s="108"/>
    </row>
    <row r="935" spans="1:14" ht="15" customHeight="1" x14ac:dyDescent="0.2">
      <c r="A935" s="103">
        <f t="shared" si="217"/>
        <v>854</v>
      </c>
      <c r="B935" s="103"/>
      <c r="C935" s="112"/>
      <c r="D935" s="112" t="s">
        <v>1115</v>
      </c>
      <c r="E935" s="106" t="s">
        <v>14</v>
      </c>
      <c r="F935" s="106"/>
      <c r="G935" s="107">
        <f t="shared" si="219"/>
        <v>239</v>
      </c>
      <c r="H935" s="107">
        <f t="shared" si="218"/>
        <v>245</v>
      </c>
      <c r="I935" s="107">
        <v>7</v>
      </c>
      <c r="J935" s="107" t="s">
        <v>18</v>
      </c>
      <c r="K935" s="106"/>
      <c r="L935" s="107"/>
      <c r="M935" s="108"/>
      <c r="N935" s="108"/>
    </row>
    <row r="936" spans="1:14" ht="15" customHeight="1" x14ac:dyDescent="0.2">
      <c r="A936" s="103">
        <f t="shared" si="217"/>
        <v>855</v>
      </c>
      <c r="B936" s="103"/>
      <c r="C936" s="112"/>
      <c r="D936" s="112" t="s">
        <v>1116</v>
      </c>
      <c r="E936" s="106" t="s">
        <v>14</v>
      </c>
      <c r="F936" s="106"/>
      <c r="G936" s="107">
        <f t="shared" si="219"/>
        <v>246</v>
      </c>
      <c r="H936" s="107">
        <f t="shared" si="218"/>
        <v>248</v>
      </c>
      <c r="I936" s="107">
        <v>3</v>
      </c>
      <c r="J936" s="107" t="s">
        <v>18</v>
      </c>
      <c r="K936" s="106"/>
      <c r="L936" s="107"/>
      <c r="M936" s="108"/>
      <c r="N936" s="108"/>
    </row>
    <row r="937" spans="1:14" ht="15" customHeight="1" x14ac:dyDescent="0.2">
      <c r="A937" s="103">
        <f t="shared" si="217"/>
        <v>856</v>
      </c>
      <c r="B937" s="103"/>
      <c r="C937" s="112"/>
      <c r="D937" s="112" t="s">
        <v>1117</v>
      </c>
      <c r="E937" s="106" t="s">
        <v>14</v>
      </c>
      <c r="F937" s="106"/>
      <c r="G937" s="107">
        <f t="shared" si="219"/>
        <v>249</v>
      </c>
      <c r="H937" s="107">
        <f t="shared" si="218"/>
        <v>256</v>
      </c>
      <c r="I937" s="107">
        <v>8</v>
      </c>
      <c r="J937" s="107" t="s">
        <v>1077</v>
      </c>
      <c r="K937" s="106"/>
      <c r="L937" s="107"/>
      <c r="M937" s="108"/>
      <c r="N937" s="108"/>
    </row>
    <row r="938" spans="1:14" ht="15" customHeight="1" x14ac:dyDescent="0.2">
      <c r="A938" s="103">
        <f t="shared" si="217"/>
        <v>857</v>
      </c>
      <c r="B938" s="103"/>
      <c r="C938" s="112"/>
      <c r="D938" s="112" t="s">
        <v>1118</v>
      </c>
      <c r="E938" s="106" t="s">
        <v>14</v>
      </c>
      <c r="F938" s="106"/>
      <c r="G938" s="107">
        <f t="shared" si="219"/>
        <v>257</v>
      </c>
      <c r="H938" s="107">
        <f t="shared" si="218"/>
        <v>337</v>
      </c>
      <c r="I938" s="107">
        <v>81</v>
      </c>
      <c r="J938" s="107" t="s">
        <v>1077</v>
      </c>
      <c r="K938" s="106"/>
      <c r="L938" s="107"/>
      <c r="M938" s="108"/>
      <c r="N938" s="108"/>
    </row>
    <row r="939" spans="1:14" ht="15" customHeight="1" x14ac:dyDescent="0.2">
      <c r="A939" s="103">
        <f t="shared" si="217"/>
        <v>858</v>
      </c>
      <c r="B939" s="103"/>
      <c r="C939" s="112"/>
      <c r="D939" s="112" t="s">
        <v>1119</v>
      </c>
      <c r="E939" s="106" t="s">
        <v>14</v>
      </c>
      <c r="F939" s="106"/>
      <c r="G939" s="107">
        <f t="shared" si="219"/>
        <v>338</v>
      </c>
      <c r="H939" s="107">
        <f t="shared" si="218"/>
        <v>340</v>
      </c>
      <c r="I939" s="107">
        <v>3</v>
      </c>
      <c r="J939" s="107" t="s">
        <v>18</v>
      </c>
      <c r="K939" s="106"/>
      <c r="L939" s="107"/>
      <c r="M939" s="108"/>
      <c r="N939" s="108"/>
    </row>
    <row r="940" spans="1:14" x14ac:dyDescent="0.2">
      <c r="A940" s="103">
        <f t="shared" si="217"/>
        <v>859</v>
      </c>
      <c r="B940" s="103"/>
      <c r="C940" s="112"/>
      <c r="D940" s="112" t="s">
        <v>1120</v>
      </c>
      <c r="E940" s="106" t="s">
        <v>14</v>
      </c>
      <c r="F940" s="106"/>
      <c r="G940" s="107">
        <f t="shared" si="219"/>
        <v>341</v>
      </c>
      <c r="H940" s="107">
        <f t="shared" si="218"/>
        <v>348</v>
      </c>
      <c r="I940" s="107">
        <v>8</v>
      </c>
      <c r="J940" s="107" t="s">
        <v>1077</v>
      </c>
      <c r="K940" s="106"/>
      <c r="L940" s="107"/>
      <c r="M940" s="108"/>
      <c r="N940" s="108"/>
    </row>
    <row r="941" spans="1:14" ht="17.25" customHeight="1" x14ac:dyDescent="0.2">
      <c r="A941" s="288">
        <f t="shared" si="217"/>
        <v>860</v>
      </c>
      <c r="B941" s="292"/>
      <c r="C941" s="293"/>
      <c r="D941" s="294" t="s">
        <v>28</v>
      </c>
      <c r="E941" s="289" t="s">
        <v>14</v>
      </c>
      <c r="F941" s="289"/>
      <c r="G941" s="290">
        <f t="shared" si="219"/>
        <v>349</v>
      </c>
      <c r="H941" s="290">
        <v>600</v>
      </c>
      <c r="I941" s="290">
        <f>H941-H940</f>
        <v>252</v>
      </c>
      <c r="J941" s="290" t="s">
        <v>15</v>
      </c>
      <c r="K941" s="289"/>
      <c r="L941" s="290"/>
      <c r="M941" s="291"/>
      <c r="N941" s="295" t="s">
        <v>29</v>
      </c>
    </row>
    <row r="942" spans="1:14" ht="14.45" customHeight="1" x14ac:dyDescent="0.2">
      <c r="A942" s="324"/>
      <c r="B942" s="325"/>
      <c r="C942" s="325"/>
      <c r="D942" s="325"/>
      <c r="E942" s="325"/>
      <c r="F942" s="325"/>
      <c r="G942" s="325"/>
      <c r="H942" s="325"/>
      <c r="I942" s="325"/>
      <c r="J942" s="325"/>
      <c r="K942" s="325"/>
      <c r="L942" s="325"/>
      <c r="M942" s="325"/>
      <c r="N942" s="326"/>
    </row>
    <row r="943" spans="1:14" ht="24.6" customHeight="1" x14ac:dyDescent="0.2">
      <c r="A943" s="169"/>
      <c r="B943" s="257"/>
      <c r="C943" s="104"/>
      <c r="D943" s="231" t="s">
        <v>1121</v>
      </c>
      <c r="E943" s="106"/>
      <c r="F943" s="106"/>
      <c r="G943" s="107"/>
      <c r="H943" s="107"/>
      <c r="I943" s="107"/>
      <c r="J943" s="107"/>
      <c r="K943" s="106"/>
      <c r="L943" s="107"/>
      <c r="M943" s="108"/>
      <c r="N943" s="108"/>
    </row>
    <row r="944" spans="1:14" x14ac:dyDescent="0.2">
      <c r="A944" s="169"/>
      <c r="B944" s="169"/>
      <c r="C944" s="112"/>
      <c r="D944" s="126"/>
      <c r="E944" s="106"/>
      <c r="F944" s="106"/>
      <c r="G944" s="107"/>
      <c r="H944" s="107"/>
      <c r="I944" s="107"/>
      <c r="J944" s="107"/>
      <c r="K944" s="106"/>
      <c r="L944" s="107"/>
      <c r="M944" s="108"/>
      <c r="N944" s="108"/>
    </row>
    <row r="945" spans="1:14" x14ac:dyDescent="0.2">
      <c r="A945" s="169">
        <f>A941+1</f>
        <v>861</v>
      </c>
      <c r="B945" s="169"/>
      <c r="C945" s="221" t="s">
        <v>1122</v>
      </c>
      <c r="D945" s="222"/>
      <c r="E945" s="106" t="s">
        <v>14</v>
      </c>
      <c r="F945" s="106"/>
      <c r="G945" s="107">
        <f>$H$16+1</f>
        <v>7</v>
      </c>
      <c r="H945" s="107">
        <f>I945+$H$16</f>
        <v>9</v>
      </c>
      <c r="I945" s="107">
        <v>3</v>
      </c>
      <c r="J945" s="107" t="s">
        <v>18</v>
      </c>
      <c r="K945" s="106"/>
      <c r="L945" s="107"/>
      <c r="M945" s="108"/>
      <c r="N945" s="222" t="s">
        <v>1123</v>
      </c>
    </row>
    <row r="946" spans="1:14" ht="15" x14ac:dyDescent="0.2">
      <c r="A946" s="288">
        <f>A945+1</f>
        <v>862</v>
      </c>
      <c r="B946" s="292"/>
      <c r="C946" s="293"/>
      <c r="D946" s="294" t="s">
        <v>28</v>
      </c>
      <c r="E946" s="289" t="s">
        <v>14</v>
      </c>
      <c r="F946" s="289"/>
      <c r="G946" s="290">
        <f>H945+1</f>
        <v>10</v>
      </c>
      <c r="H946" s="290">
        <v>600</v>
      </c>
      <c r="I946" s="290">
        <f>H946-H945</f>
        <v>591</v>
      </c>
      <c r="J946" s="290" t="s">
        <v>15</v>
      </c>
      <c r="K946" s="289"/>
      <c r="L946" s="290"/>
      <c r="M946" s="291"/>
      <c r="N946" s="295" t="s">
        <v>29</v>
      </c>
    </row>
    <row r="947" spans="1:14" ht="14.45" customHeight="1" x14ac:dyDescent="0.2">
      <c r="A947" s="324"/>
      <c r="B947" s="325"/>
      <c r="C947" s="325"/>
      <c r="D947" s="325"/>
      <c r="E947" s="325"/>
      <c r="F947" s="325"/>
      <c r="G947" s="325"/>
      <c r="H947" s="325"/>
      <c r="I947" s="325"/>
      <c r="J947" s="325"/>
      <c r="K947" s="325"/>
      <c r="L947" s="325"/>
      <c r="M947" s="325"/>
      <c r="N947" s="326"/>
    </row>
    <row r="948" spans="1:14" x14ac:dyDescent="0.2">
      <c r="A948" s="169">
        <f>A946+1</f>
        <v>863</v>
      </c>
      <c r="B948" s="169"/>
      <c r="C948" s="163" t="s">
        <v>1124</v>
      </c>
      <c r="D948" s="164"/>
      <c r="E948" s="106" t="s">
        <v>14</v>
      </c>
      <c r="F948" s="106"/>
      <c r="G948" s="107">
        <f>$H$16+1</f>
        <v>7</v>
      </c>
      <c r="H948" s="107">
        <f>I948+$H$16</f>
        <v>9</v>
      </c>
      <c r="I948" s="107">
        <v>3</v>
      </c>
      <c r="J948" s="107" t="s">
        <v>18</v>
      </c>
      <c r="K948" s="106"/>
      <c r="L948" s="107"/>
      <c r="M948" s="108"/>
      <c r="N948" s="164" t="s">
        <v>1125</v>
      </c>
    </row>
    <row r="949" spans="1:14" ht="15" x14ac:dyDescent="0.2">
      <c r="A949" s="169">
        <f t="shared" ref="A949:A969" si="220">A948+1</f>
        <v>864</v>
      </c>
      <c r="B949" s="257"/>
      <c r="C949" s="131"/>
      <c r="D949" s="105" t="s">
        <v>1126</v>
      </c>
      <c r="E949" s="106" t="s">
        <v>14</v>
      </c>
      <c r="F949" s="106"/>
      <c r="G949" s="107">
        <f t="shared" ref="G949:G973" si="221">H948+1</f>
        <v>10</v>
      </c>
      <c r="H949" s="107">
        <f t="shared" ref="H949:H972" si="222">H948+I949</f>
        <v>10</v>
      </c>
      <c r="I949" s="111">
        <v>1</v>
      </c>
      <c r="J949" s="111" t="s">
        <v>15</v>
      </c>
      <c r="K949" s="124"/>
      <c r="L949" s="107"/>
      <c r="M949" s="108"/>
      <c r="N949" s="109" t="s">
        <v>1127</v>
      </c>
    </row>
    <row r="950" spans="1:14" ht="15" x14ac:dyDescent="0.2">
      <c r="A950" s="169">
        <f t="shared" si="220"/>
        <v>865</v>
      </c>
      <c r="B950" s="257"/>
      <c r="C950" s="131"/>
      <c r="D950" s="105" t="s">
        <v>1128</v>
      </c>
      <c r="E950" s="106" t="s">
        <v>14</v>
      </c>
      <c r="F950" s="106"/>
      <c r="G950" s="107">
        <f t="shared" si="221"/>
        <v>11</v>
      </c>
      <c r="H950" s="107">
        <f t="shared" si="222"/>
        <v>11</v>
      </c>
      <c r="I950" s="111">
        <v>1</v>
      </c>
      <c r="J950" s="111" t="s">
        <v>15</v>
      </c>
      <c r="K950" s="124"/>
      <c r="L950" s="107"/>
      <c r="M950" s="108"/>
      <c r="N950" s="109" t="s">
        <v>1129</v>
      </c>
    </row>
    <row r="951" spans="1:14" ht="15" x14ac:dyDescent="0.2">
      <c r="A951" s="169">
        <f t="shared" si="220"/>
        <v>866</v>
      </c>
      <c r="B951" s="257"/>
      <c r="C951" s="131"/>
      <c r="D951" s="105" t="s">
        <v>1130</v>
      </c>
      <c r="E951" s="106" t="s">
        <v>14</v>
      </c>
      <c r="F951" s="106"/>
      <c r="G951" s="107">
        <f t="shared" si="221"/>
        <v>12</v>
      </c>
      <c r="H951" s="107">
        <f t="shared" si="222"/>
        <v>12</v>
      </c>
      <c r="I951" s="111">
        <v>1</v>
      </c>
      <c r="J951" s="111" t="s">
        <v>15</v>
      </c>
      <c r="K951" s="124"/>
      <c r="L951" s="107"/>
      <c r="M951" s="108"/>
      <c r="N951" s="109" t="s">
        <v>1131</v>
      </c>
    </row>
    <row r="952" spans="1:14" ht="15" x14ac:dyDescent="0.2">
      <c r="A952" s="169">
        <f t="shared" si="220"/>
        <v>867</v>
      </c>
      <c r="B952" s="257"/>
      <c r="C952" s="131">
        <v>1</v>
      </c>
      <c r="D952" s="105" t="s">
        <v>1132</v>
      </c>
      <c r="E952" s="106" t="s">
        <v>14</v>
      </c>
      <c r="F952" s="106"/>
      <c r="G952" s="107">
        <f t="shared" si="221"/>
        <v>13</v>
      </c>
      <c r="H952" s="107">
        <f t="shared" si="222"/>
        <v>72</v>
      </c>
      <c r="I952" s="111">
        <v>60</v>
      </c>
      <c r="J952" s="111" t="s">
        <v>15</v>
      </c>
      <c r="K952" s="124"/>
      <c r="L952" s="107"/>
      <c r="M952" s="108"/>
      <c r="N952" s="109" t="s">
        <v>1133</v>
      </c>
    </row>
    <row r="953" spans="1:14" ht="15" x14ac:dyDescent="0.2">
      <c r="A953" s="169">
        <f t="shared" si="220"/>
        <v>868</v>
      </c>
      <c r="B953" s="257"/>
      <c r="C953" s="131"/>
      <c r="D953" s="105" t="s">
        <v>1126</v>
      </c>
      <c r="E953" s="106" t="s">
        <v>14</v>
      </c>
      <c r="F953" s="106"/>
      <c r="G953" s="107">
        <f t="shared" si="221"/>
        <v>73</v>
      </c>
      <c r="H953" s="107">
        <f t="shared" si="222"/>
        <v>73</v>
      </c>
      <c r="I953" s="111">
        <v>1</v>
      </c>
      <c r="J953" s="111" t="s">
        <v>15</v>
      </c>
      <c r="K953" s="124"/>
      <c r="L953" s="107"/>
      <c r="M953" s="108"/>
      <c r="N953" s="109" t="s">
        <v>1127</v>
      </c>
    </row>
    <row r="954" spans="1:14" ht="15" x14ac:dyDescent="0.2">
      <c r="A954" s="169">
        <f t="shared" si="220"/>
        <v>869</v>
      </c>
      <c r="B954" s="257"/>
      <c r="C954" s="131"/>
      <c r="D954" s="105" t="s">
        <v>1128</v>
      </c>
      <c r="E954" s="106" t="s">
        <v>14</v>
      </c>
      <c r="F954" s="106"/>
      <c r="G954" s="107">
        <f t="shared" si="221"/>
        <v>74</v>
      </c>
      <c r="H954" s="107">
        <f t="shared" si="222"/>
        <v>74</v>
      </c>
      <c r="I954" s="111">
        <v>1</v>
      </c>
      <c r="J954" s="111" t="s">
        <v>15</v>
      </c>
      <c r="K954" s="124"/>
      <c r="L954" s="107"/>
      <c r="M954" s="108"/>
      <c r="N954" s="109" t="s">
        <v>1129</v>
      </c>
    </row>
    <row r="955" spans="1:14" ht="15" x14ac:dyDescent="0.2">
      <c r="A955" s="169">
        <f t="shared" si="220"/>
        <v>870</v>
      </c>
      <c r="B955" s="257"/>
      <c r="C955" s="131"/>
      <c r="D955" s="105" t="s">
        <v>1130</v>
      </c>
      <c r="E955" s="106" t="s">
        <v>14</v>
      </c>
      <c r="F955" s="106"/>
      <c r="G955" s="107">
        <f t="shared" si="221"/>
        <v>75</v>
      </c>
      <c r="H955" s="107">
        <f t="shared" si="222"/>
        <v>75</v>
      </c>
      <c r="I955" s="111">
        <v>1</v>
      </c>
      <c r="J955" s="111" t="s">
        <v>15</v>
      </c>
      <c r="K955" s="124"/>
      <c r="L955" s="107"/>
      <c r="M955" s="108"/>
      <c r="N955" s="109" t="s">
        <v>1131</v>
      </c>
    </row>
    <row r="956" spans="1:14" ht="15" x14ac:dyDescent="0.2">
      <c r="A956" s="169">
        <f t="shared" si="220"/>
        <v>871</v>
      </c>
      <c r="B956" s="257"/>
      <c r="C956" s="131">
        <v>2</v>
      </c>
      <c r="D956" s="105" t="s">
        <v>1134</v>
      </c>
      <c r="E956" s="106" t="s">
        <v>14</v>
      </c>
      <c r="F956" s="106"/>
      <c r="G956" s="107">
        <f t="shared" si="221"/>
        <v>76</v>
      </c>
      <c r="H956" s="107">
        <f t="shared" si="222"/>
        <v>135</v>
      </c>
      <c r="I956" s="111">
        <v>60</v>
      </c>
      <c r="J956" s="111" t="s">
        <v>15</v>
      </c>
      <c r="K956" s="124"/>
      <c r="L956" s="107"/>
      <c r="M956" s="108"/>
      <c r="N956" s="109" t="s">
        <v>1133</v>
      </c>
    </row>
    <row r="957" spans="1:14" ht="15" x14ac:dyDescent="0.2">
      <c r="A957" s="169">
        <f t="shared" si="220"/>
        <v>872</v>
      </c>
      <c r="B957" s="257"/>
      <c r="C957" s="131"/>
      <c r="D957" s="105" t="s">
        <v>1126</v>
      </c>
      <c r="E957" s="106" t="s">
        <v>14</v>
      </c>
      <c r="F957" s="106"/>
      <c r="G957" s="107">
        <f t="shared" si="221"/>
        <v>136</v>
      </c>
      <c r="H957" s="107">
        <f t="shared" si="222"/>
        <v>136</v>
      </c>
      <c r="I957" s="111">
        <v>1</v>
      </c>
      <c r="J957" s="111" t="s">
        <v>15</v>
      </c>
      <c r="K957" s="124"/>
      <c r="L957" s="107"/>
      <c r="M957" s="108"/>
      <c r="N957" s="109" t="s">
        <v>1127</v>
      </c>
    </row>
    <row r="958" spans="1:14" ht="15" x14ac:dyDescent="0.2">
      <c r="A958" s="169">
        <f t="shared" si="220"/>
        <v>873</v>
      </c>
      <c r="B958" s="257"/>
      <c r="C958" s="131"/>
      <c r="D958" s="105" t="s">
        <v>1128</v>
      </c>
      <c r="E958" s="106" t="s">
        <v>14</v>
      </c>
      <c r="F958" s="106"/>
      <c r="G958" s="107">
        <f t="shared" si="221"/>
        <v>137</v>
      </c>
      <c r="H958" s="107">
        <f t="shared" si="222"/>
        <v>137</v>
      </c>
      <c r="I958" s="111">
        <v>1</v>
      </c>
      <c r="J958" s="111" t="s">
        <v>15</v>
      </c>
      <c r="K958" s="124"/>
      <c r="L958" s="107"/>
      <c r="M958" s="108"/>
      <c r="N958" s="109" t="s">
        <v>1129</v>
      </c>
    </row>
    <row r="959" spans="1:14" ht="15" x14ac:dyDescent="0.2">
      <c r="A959" s="169">
        <f t="shared" si="220"/>
        <v>874</v>
      </c>
      <c r="B959" s="257"/>
      <c r="C959" s="131"/>
      <c r="D959" s="105" t="s">
        <v>1130</v>
      </c>
      <c r="E959" s="106" t="s">
        <v>14</v>
      </c>
      <c r="F959" s="106"/>
      <c r="G959" s="107">
        <f t="shared" si="221"/>
        <v>138</v>
      </c>
      <c r="H959" s="107">
        <f t="shared" si="222"/>
        <v>138</v>
      </c>
      <c r="I959" s="111">
        <v>1</v>
      </c>
      <c r="J959" s="111" t="s">
        <v>15</v>
      </c>
      <c r="K959" s="124"/>
      <c r="L959" s="107"/>
      <c r="M959" s="108"/>
      <c r="N959" s="109" t="s">
        <v>1131</v>
      </c>
    </row>
    <row r="960" spans="1:14" ht="15" x14ac:dyDescent="0.2">
      <c r="A960" s="169">
        <f t="shared" si="220"/>
        <v>875</v>
      </c>
      <c r="B960" s="257"/>
      <c r="C960" s="131">
        <v>3</v>
      </c>
      <c r="D960" s="105" t="s">
        <v>1135</v>
      </c>
      <c r="E960" s="106" t="s">
        <v>14</v>
      </c>
      <c r="F960" s="106"/>
      <c r="G960" s="107">
        <f t="shared" si="221"/>
        <v>139</v>
      </c>
      <c r="H960" s="107">
        <f t="shared" si="222"/>
        <v>198</v>
      </c>
      <c r="I960" s="111">
        <v>60</v>
      </c>
      <c r="J960" s="111" t="s">
        <v>15</v>
      </c>
      <c r="K960" s="124"/>
      <c r="L960" s="107"/>
      <c r="M960" s="108"/>
      <c r="N960" s="109" t="s">
        <v>1133</v>
      </c>
    </row>
    <row r="961" spans="1:14" ht="15" x14ac:dyDescent="0.2">
      <c r="A961" s="169">
        <f t="shared" si="220"/>
        <v>876</v>
      </c>
      <c r="B961" s="257"/>
      <c r="C961" s="131"/>
      <c r="D961" s="105" t="s">
        <v>1126</v>
      </c>
      <c r="E961" s="106" t="s">
        <v>14</v>
      </c>
      <c r="F961" s="106"/>
      <c r="G961" s="107">
        <f t="shared" si="221"/>
        <v>199</v>
      </c>
      <c r="H961" s="107">
        <f t="shared" si="222"/>
        <v>199</v>
      </c>
      <c r="I961" s="111">
        <v>1</v>
      </c>
      <c r="J961" s="111" t="s">
        <v>15</v>
      </c>
      <c r="K961" s="124"/>
      <c r="L961" s="107"/>
      <c r="M961" s="108"/>
      <c r="N961" s="109" t="s">
        <v>1127</v>
      </c>
    </row>
    <row r="962" spans="1:14" ht="15" x14ac:dyDescent="0.2">
      <c r="A962" s="169">
        <f t="shared" si="220"/>
        <v>877</v>
      </c>
      <c r="B962" s="257"/>
      <c r="C962" s="131"/>
      <c r="D962" s="105" t="s">
        <v>1128</v>
      </c>
      <c r="E962" s="106" t="s">
        <v>14</v>
      </c>
      <c r="F962" s="106"/>
      <c r="G962" s="107">
        <f t="shared" si="221"/>
        <v>200</v>
      </c>
      <c r="H962" s="107">
        <f t="shared" si="222"/>
        <v>200</v>
      </c>
      <c r="I962" s="111">
        <v>1</v>
      </c>
      <c r="J962" s="111" t="s">
        <v>15</v>
      </c>
      <c r="K962" s="124"/>
      <c r="L962" s="107"/>
      <c r="M962" s="108"/>
      <c r="N962" s="109" t="s">
        <v>1129</v>
      </c>
    </row>
    <row r="963" spans="1:14" ht="15" x14ac:dyDescent="0.2">
      <c r="A963" s="169">
        <f t="shared" si="220"/>
        <v>878</v>
      </c>
      <c r="B963" s="257"/>
      <c r="C963" s="131"/>
      <c r="D963" s="105" t="s">
        <v>1130</v>
      </c>
      <c r="E963" s="106" t="s">
        <v>14</v>
      </c>
      <c r="F963" s="106"/>
      <c r="G963" s="107">
        <f t="shared" si="221"/>
        <v>201</v>
      </c>
      <c r="H963" s="107">
        <f t="shared" si="222"/>
        <v>201</v>
      </c>
      <c r="I963" s="111">
        <v>1</v>
      </c>
      <c r="J963" s="111" t="s">
        <v>15</v>
      </c>
      <c r="K963" s="124"/>
      <c r="L963" s="107"/>
      <c r="M963" s="108"/>
      <c r="N963" s="109" t="s">
        <v>1131</v>
      </c>
    </row>
    <row r="964" spans="1:14" ht="15" x14ac:dyDescent="0.2">
      <c r="A964" s="169">
        <f t="shared" si="220"/>
        <v>879</v>
      </c>
      <c r="B964" s="257"/>
      <c r="C964" s="131">
        <v>4</v>
      </c>
      <c r="D964" s="105" t="s">
        <v>1136</v>
      </c>
      <c r="E964" s="106" t="s">
        <v>14</v>
      </c>
      <c r="F964" s="106"/>
      <c r="G964" s="107">
        <f t="shared" si="221"/>
        <v>202</v>
      </c>
      <c r="H964" s="107">
        <f t="shared" si="222"/>
        <v>261</v>
      </c>
      <c r="I964" s="111">
        <v>60</v>
      </c>
      <c r="J964" s="111" t="s">
        <v>15</v>
      </c>
      <c r="K964" s="124"/>
      <c r="L964" s="107"/>
      <c r="M964" s="108"/>
      <c r="N964" s="109" t="s">
        <v>1133</v>
      </c>
    </row>
    <row r="965" spans="1:14" ht="15" x14ac:dyDescent="0.2">
      <c r="A965" s="169">
        <f t="shared" si="220"/>
        <v>880</v>
      </c>
      <c r="B965" s="257"/>
      <c r="C965" s="131"/>
      <c r="D965" s="105" t="s">
        <v>1126</v>
      </c>
      <c r="E965" s="106" t="s">
        <v>14</v>
      </c>
      <c r="F965" s="106"/>
      <c r="G965" s="107">
        <f t="shared" si="221"/>
        <v>262</v>
      </c>
      <c r="H965" s="107">
        <f t="shared" si="222"/>
        <v>262</v>
      </c>
      <c r="I965" s="111">
        <v>1</v>
      </c>
      <c r="J965" s="111" t="s">
        <v>15</v>
      </c>
      <c r="K965" s="124"/>
      <c r="L965" s="107"/>
      <c r="M965" s="108"/>
      <c r="N965" s="109" t="s">
        <v>1127</v>
      </c>
    </row>
    <row r="966" spans="1:14" ht="15" x14ac:dyDescent="0.2">
      <c r="A966" s="169">
        <f t="shared" si="220"/>
        <v>881</v>
      </c>
      <c r="B966" s="257"/>
      <c r="C966" s="131"/>
      <c r="D966" s="105" t="s">
        <v>1128</v>
      </c>
      <c r="E966" s="106" t="s">
        <v>14</v>
      </c>
      <c r="F966" s="106"/>
      <c r="G966" s="107">
        <f t="shared" si="221"/>
        <v>263</v>
      </c>
      <c r="H966" s="107">
        <f t="shared" si="222"/>
        <v>263</v>
      </c>
      <c r="I966" s="111">
        <v>1</v>
      </c>
      <c r="J966" s="111" t="s">
        <v>15</v>
      </c>
      <c r="K966" s="124"/>
      <c r="L966" s="107"/>
      <c r="M966" s="108"/>
      <c r="N966" s="109" t="s">
        <v>1129</v>
      </c>
    </row>
    <row r="967" spans="1:14" ht="15" x14ac:dyDescent="0.2">
      <c r="A967" s="169">
        <f t="shared" si="220"/>
        <v>882</v>
      </c>
      <c r="B967" s="257"/>
      <c r="C967" s="131"/>
      <c r="D967" s="105" t="s">
        <v>1130</v>
      </c>
      <c r="E967" s="106" t="s">
        <v>14</v>
      </c>
      <c r="F967" s="106"/>
      <c r="G967" s="107">
        <f t="shared" si="221"/>
        <v>264</v>
      </c>
      <c r="H967" s="107">
        <f t="shared" si="222"/>
        <v>264</v>
      </c>
      <c r="I967" s="111">
        <v>1</v>
      </c>
      <c r="J967" s="111" t="s">
        <v>15</v>
      </c>
      <c r="K967" s="124"/>
      <c r="L967" s="107"/>
      <c r="M967" s="108"/>
      <c r="N967" s="109" t="s">
        <v>1131</v>
      </c>
    </row>
    <row r="968" spans="1:14" ht="15" x14ac:dyDescent="0.2">
      <c r="A968" s="169">
        <f t="shared" si="220"/>
        <v>883</v>
      </c>
      <c r="B968" s="257"/>
      <c r="C968" s="131">
        <v>5</v>
      </c>
      <c r="D968" s="105" t="s">
        <v>1137</v>
      </c>
      <c r="E968" s="106" t="s">
        <v>14</v>
      </c>
      <c r="F968" s="106"/>
      <c r="G968" s="107">
        <f t="shared" si="221"/>
        <v>265</v>
      </c>
      <c r="H968" s="107">
        <f t="shared" si="222"/>
        <v>324</v>
      </c>
      <c r="I968" s="111">
        <v>60</v>
      </c>
      <c r="J968" s="111" t="s">
        <v>15</v>
      </c>
      <c r="K968" s="124"/>
      <c r="L968" s="107"/>
      <c r="M968" s="108"/>
      <c r="N968" s="109" t="s">
        <v>1133</v>
      </c>
    </row>
    <row r="969" spans="1:14" ht="15" x14ac:dyDescent="0.2">
      <c r="A969" s="169">
        <f t="shared" si="220"/>
        <v>884</v>
      </c>
      <c r="B969" s="257"/>
      <c r="C969" s="131"/>
      <c r="D969" s="105" t="s">
        <v>1126</v>
      </c>
      <c r="E969" s="106" t="s">
        <v>14</v>
      </c>
      <c r="F969" s="106"/>
      <c r="G969" s="107">
        <f t="shared" si="221"/>
        <v>325</v>
      </c>
      <c r="H969" s="107">
        <f t="shared" si="222"/>
        <v>325</v>
      </c>
      <c r="I969" s="111">
        <v>1</v>
      </c>
      <c r="J969" s="111" t="s">
        <v>15</v>
      </c>
      <c r="K969" s="124"/>
      <c r="L969" s="107"/>
      <c r="M969" s="108"/>
      <c r="N969" s="109" t="s">
        <v>1127</v>
      </c>
    </row>
    <row r="970" spans="1:14" ht="15" x14ac:dyDescent="0.2">
      <c r="A970" s="169">
        <f>A969+1</f>
        <v>885</v>
      </c>
      <c r="B970" s="257"/>
      <c r="C970" s="131"/>
      <c r="D970" s="105" t="s">
        <v>1128</v>
      </c>
      <c r="E970" s="106" t="s">
        <v>14</v>
      </c>
      <c r="F970" s="106"/>
      <c r="G970" s="107">
        <f t="shared" si="221"/>
        <v>326</v>
      </c>
      <c r="H970" s="107">
        <f t="shared" si="222"/>
        <v>326</v>
      </c>
      <c r="I970" s="111">
        <v>1</v>
      </c>
      <c r="J970" s="111" t="s">
        <v>15</v>
      </c>
      <c r="K970" s="124"/>
      <c r="L970" s="107"/>
      <c r="M970" s="108"/>
      <c r="N970" s="109" t="s">
        <v>1129</v>
      </c>
    </row>
    <row r="971" spans="1:14" ht="15" x14ac:dyDescent="0.2">
      <c r="A971" s="169">
        <f>A970+1</f>
        <v>886</v>
      </c>
      <c r="B971" s="257"/>
      <c r="C971" s="131"/>
      <c r="D971" s="105" t="s">
        <v>1130</v>
      </c>
      <c r="E971" s="106" t="s">
        <v>14</v>
      </c>
      <c r="F971" s="106"/>
      <c r="G971" s="107">
        <f t="shared" si="221"/>
        <v>327</v>
      </c>
      <c r="H971" s="107">
        <f t="shared" si="222"/>
        <v>327</v>
      </c>
      <c r="I971" s="111">
        <v>1</v>
      </c>
      <c r="J971" s="111" t="s">
        <v>15</v>
      </c>
      <c r="K971" s="124"/>
      <c r="L971" s="107"/>
      <c r="M971" s="108"/>
      <c r="N971" s="109" t="s">
        <v>1131</v>
      </c>
    </row>
    <row r="972" spans="1:14" ht="15" x14ac:dyDescent="0.2">
      <c r="A972" s="169">
        <f>A971+1</f>
        <v>887</v>
      </c>
      <c r="B972" s="257"/>
      <c r="C972" s="131">
        <v>6</v>
      </c>
      <c r="D972" s="105" t="s">
        <v>1138</v>
      </c>
      <c r="E972" s="106" t="s">
        <v>14</v>
      </c>
      <c r="F972" s="106"/>
      <c r="G972" s="107">
        <f t="shared" si="221"/>
        <v>328</v>
      </c>
      <c r="H972" s="107">
        <f t="shared" si="222"/>
        <v>387</v>
      </c>
      <c r="I972" s="111">
        <v>60</v>
      </c>
      <c r="J972" s="111" t="s">
        <v>15</v>
      </c>
      <c r="K972" s="124"/>
      <c r="L972" s="107"/>
      <c r="M972" s="108"/>
      <c r="N972" s="109" t="s">
        <v>1133</v>
      </c>
    </row>
    <row r="973" spans="1:14" ht="15" x14ac:dyDescent="0.2">
      <c r="A973" s="288">
        <f>A972+1</f>
        <v>888</v>
      </c>
      <c r="B973" s="292"/>
      <c r="C973" s="293"/>
      <c r="D973" s="294" t="s">
        <v>28</v>
      </c>
      <c r="E973" s="289" t="s">
        <v>14</v>
      </c>
      <c r="F973" s="289"/>
      <c r="G973" s="290">
        <f t="shared" si="221"/>
        <v>388</v>
      </c>
      <c r="H973" s="290">
        <v>600</v>
      </c>
      <c r="I973" s="290">
        <f>H973-H972</f>
        <v>213</v>
      </c>
      <c r="J973" s="290" t="s">
        <v>15</v>
      </c>
      <c r="K973" s="289"/>
      <c r="L973" s="290"/>
      <c r="M973" s="291"/>
      <c r="N973" s="295" t="s">
        <v>29</v>
      </c>
    </row>
    <row r="974" spans="1:14" ht="14.45" customHeight="1" x14ac:dyDescent="0.2">
      <c r="A974" s="324"/>
      <c r="B974" s="325"/>
      <c r="C974" s="325"/>
      <c r="D974" s="325"/>
      <c r="E974" s="325"/>
      <c r="F974" s="325"/>
      <c r="G974" s="325"/>
      <c r="H974" s="325"/>
      <c r="I974" s="325"/>
      <c r="J974" s="325"/>
      <c r="K974" s="325"/>
      <c r="L974" s="325"/>
      <c r="M974" s="325"/>
      <c r="N974" s="326"/>
    </row>
    <row r="975" spans="1:14" ht="15" customHeight="1" x14ac:dyDescent="0.2">
      <c r="A975" s="169">
        <f>A973+1</f>
        <v>889</v>
      </c>
      <c r="B975" s="169"/>
      <c r="C975" s="163" t="s">
        <v>1139</v>
      </c>
      <c r="D975" s="164"/>
      <c r="E975" s="106" t="s">
        <v>14</v>
      </c>
      <c r="F975" s="106"/>
      <c r="G975" s="107">
        <f>$H$16+1</f>
        <v>7</v>
      </c>
      <c r="H975" s="107">
        <f>I975+$H$16</f>
        <v>9</v>
      </c>
      <c r="I975" s="107">
        <v>3</v>
      </c>
      <c r="J975" s="107" t="s">
        <v>18</v>
      </c>
      <c r="K975" s="106"/>
      <c r="L975" s="107"/>
      <c r="M975" s="108"/>
      <c r="N975" s="164" t="s">
        <v>1140</v>
      </c>
    </row>
    <row r="976" spans="1:14" ht="15" customHeight="1" x14ac:dyDescent="0.2">
      <c r="A976" s="169">
        <f t="shared" ref="A976:A989" si="223">A975+1</f>
        <v>890</v>
      </c>
      <c r="B976" s="169"/>
      <c r="C976" s="132">
        <v>1</v>
      </c>
      <c r="D976" s="105" t="s">
        <v>695</v>
      </c>
      <c r="E976" s="106" t="s">
        <v>701</v>
      </c>
      <c r="F976" s="106"/>
      <c r="G976" s="107">
        <v>10</v>
      </c>
      <c r="H976" s="107">
        <v>12</v>
      </c>
      <c r="I976" s="107">
        <v>3</v>
      </c>
      <c r="J976" s="107" t="s">
        <v>15</v>
      </c>
      <c r="K976" s="106"/>
      <c r="L976" s="107"/>
      <c r="M976" s="108"/>
      <c r="N976" s="109" t="s">
        <v>1141</v>
      </c>
    </row>
    <row r="977" spans="1:14" ht="15" customHeight="1" x14ac:dyDescent="0.2">
      <c r="A977" s="169">
        <f t="shared" si="223"/>
        <v>891</v>
      </c>
      <c r="B977" s="169"/>
      <c r="C977" s="132">
        <v>2</v>
      </c>
      <c r="D977" s="133" t="s">
        <v>1142</v>
      </c>
      <c r="E977" s="134" t="s">
        <v>701</v>
      </c>
      <c r="F977" s="134"/>
      <c r="G977" s="107">
        <f t="shared" ref="G977:G986" si="224">H976+1</f>
        <v>13</v>
      </c>
      <c r="H977" s="107">
        <f>H976+I977</f>
        <v>14</v>
      </c>
      <c r="I977" s="107">
        <v>2</v>
      </c>
      <c r="J977" s="135" t="s">
        <v>15</v>
      </c>
      <c r="K977" s="267"/>
      <c r="L977" s="107"/>
      <c r="M977" s="108"/>
      <c r="N977" s="109" t="s">
        <v>1143</v>
      </c>
    </row>
    <row r="978" spans="1:14" ht="15" customHeight="1" x14ac:dyDescent="0.2">
      <c r="A978" s="169">
        <f t="shared" si="223"/>
        <v>892</v>
      </c>
      <c r="B978" s="169"/>
      <c r="C978" s="132">
        <v>3</v>
      </c>
      <c r="D978" s="133" t="s">
        <v>1144</v>
      </c>
      <c r="E978" s="134" t="s">
        <v>701</v>
      </c>
      <c r="F978" s="134"/>
      <c r="G978" s="107">
        <f t="shared" si="224"/>
        <v>15</v>
      </c>
      <c r="H978" s="107">
        <f>H977+I978</f>
        <v>34</v>
      </c>
      <c r="I978" s="107">
        <v>20</v>
      </c>
      <c r="J978" s="135" t="s">
        <v>15</v>
      </c>
      <c r="K978" s="267"/>
      <c r="L978" s="107"/>
      <c r="M978" s="108"/>
      <c r="N978" s="109"/>
    </row>
    <row r="979" spans="1:14" ht="15" customHeight="1" x14ac:dyDescent="0.2">
      <c r="A979" s="169">
        <f t="shared" si="223"/>
        <v>893</v>
      </c>
      <c r="B979" s="169"/>
      <c r="C979" s="132">
        <v>4</v>
      </c>
      <c r="D979" s="133" t="s">
        <v>1145</v>
      </c>
      <c r="E979" s="134" t="s">
        <v>701</v>
      </c>
      <c r="F979" s="134"/>
      <c r="G979" s="107">
        <f t="shared" si="224"/>
        <v>35</v>
      </c>
      <c r="H979" s="107">
        <f t="shared" ref="H979:H985" si="225">H978+I979</f>
        <v>54</v>
      </c>
      <c r="I979" s="107">
        <v>20</v>
      </c>
      <c r="J979" s="135" t="s">
        <v>15</v>
      </c>
      <c r="K979" s="267"/>
      <c r="L979" s="107"/>
      <c r="M979" s="108"/>
      <c r="N979" s="109"/>
    </row>
    <row r="980" spans="1:14" ht="15" customHeight="1" x14ac:dyDescent="0.2">
      <c r="A980" s="169">
        <f t="shared" si="223"/>
        <v>894</v>
      </c>
      <c r="B980" s="169"/>
      <c r="C980" s="132">
        <v>5</v>
      </c>
      <c r="D980" s="133" t="s">
        <v>1146</v>
      </c>
      <c r="E980" s="134" t="s">
        <v>701</v>
      </c>
      <c r="F980" s="134"/>
      <c r="G980" s="107">
        <f t="shared" si="224"/>
        <v>55</v>
      </c>
      <c r="H980" s="107">
        <f t="shared" si="225"/>
        <v>74</v>
      </c>
      <c r="I980" s="107">
        <v>20</v>
      </c>
      <c r="J980" s="135" t="s">
        <v>15</v>
      </c>
      <c r="K980" s="267"/>
      <c r="L980" s="107"/>
      <c r="M980" s="108"/>
      <c r="N980" s="109"/>
    </row>
    <row r="981" spans="1:14" ht="15" customHeight="1" x14ac:dyDescent="0.2">
      <c r="A981" s="169">
        <f t="shared" si="223"/>
        <v>895</v>
      </c>
      <c r="B981" s="169"/>
      <c r="C981" s="132">
        <v>6</v>
      </c>
      <c r="D981" s="133" t="s">
        <v>1147</v>
      </c>
      <c r="E981" s="134" t="s">
        <v>701</v>
      </c>
      <c r="F981" s="134"/>
      <c r="G981" s="107">
        <f t="shared" si="224"/>
        <v>75</v>
      </c>
      <c r="H981" s="107">
        <f t="shared" si="225"/>
        <v>94</v>
      </c>
      <c r="I981" s="107">
        <v>20</v>
      </c>
      <c r="J981" s="135" t="s">
        <v>15</v>
      </c>
      <c r="K981" s="267"/>
      <c r="L981" s="107"/>
      <c r="M981" s="108"/>
      <c r="N981" s="109"/>
    </row>
    <row r="982" spans="1:14" ht="15" customHeight="1" x14ac:dyDescent="0.2">
      <c r="A982" s="169">
        <f t="shared" si="223"/>
        <v>896</v>
      </c>
      <c r="B982" s="169"/>
      <c r="C982" s="132">
        <v>7</v>
      </c>
      <c r="D982" s="133" t="s">
        <v>1148</v>
      </c>
      <c r="E982" s="134" t="s">
        <v>701</v>
      </c>
      <c r="F982" s="134"/>
      <c r="G982" s="107">
        <f t="shared" si="224"/>
        <v>95</v>
      </c>
      <c r="H982" s="107">
        <f t="shared" si="225"/>
        <v>96</v>
      </c>
      <c r="I982" s="107">
        <v>2</v>
      </c>
      <c r="J982" s="135" t="s">
        <v>15</v>
      </c>
      <c r="K982" s="267"/>
      <c r="L982" s="107"/>
      <c r="M982" s="108"/>
      <c r="N982" s="109"/>
    </row>
    <row r="983" spans="1:14" ht="15" customHeight="1" x14ac:dyDescent="0.2">
      <c r="A983" s="169">
        <f t="shared" si="223"/>
        <v>897</v>
      </c>
      <c r="B983" s="169"/>
      <c r="C983" s="132">
        <v>8</v>
      </c>
      <c r="D983" s="133" t="s">
        <v>1149</v>
      </c>
      <c r="E983" s="134" t="s">
        <v>701</v>
      </c>
      <c r="F983" s="134"/>
      <c r="G983" s="107">
        <f t="shared" si="224"/>
        <v>97</v>
      </c>
      <c r="H983" s="107">
        <f t="shared" si="225"/>
        <v>100</v>
      </c>
      <c r="I983" s="107">
        <v>4</v>
      </c>
      <c r="J983" s="135" t="s">
        <v>15</v>
      </c>
      <c r="K983" s="267"/>
      <c r="L983" s="107"/>
      <c r="M983" s="108"/>
      <c r="N983" s="109"/>
    </row>
    <row r="984" spans="1:14" ht="15" customHeight="1" x14ac:dyDescent="0.2">
      <c r="A984" s="169">
        <f t="shared" si="223"/>
        <v>898</v>
      </c>
      <c r="B984" s="169"/>
      <c r="C984" s="132">
        <v>9</v>
      </c>
      <c r="D984" s="133" t="s">
        <v>1150</v>
      </c>
      <c r="E984" s="134" t="s">
        <v>701</v>
      </c>
      <c r="F984" s="134"/>
      <c r="G984" s="107">
        <f t="shared" si="224"/>
        <v>101</v>
      </c>
      <c r="H984" s="107">
        <f t="shared" si="225"/>
        <v>108</v>
      </c>
      <c r="I984" s="107">
        <v>8</v>
      </c>
      <c r="J984" s="135" t="s">
        <v>15</v>
      </c>
      <c r="K984" s="267"/>
      <c r="L984" s="107"/>
      <c r="M984" s="108"/>
      <c r="N984" s="109"/>
    </row>
    <row r="985" spans="1:14" ht="15" x14ac:dyDescent="0.2">
      <c r="A985" s="169">
        <f t="shared" si="223"/>
        <v>899</v>
      </c>
      <c r="B985" s="169"/>
      <c r="C985" s="132">
        <v>10</v>
      </c>
      <c r="D985" s="133" t="s">
        <v>1151</v>
      </c>
      <c r="E985" s="134" t="s">
        <v>701</v>
      </c>
      <c r="F985" s="134"/>
      <c r="G985" s="107">
        <f t="shared" si="224"/>
        <v>109</v>
      </c>
      <c r="H985" s="107">
        <f t="shared" si="225"/>
        <v>128</v>
      </c>
      <c r="I985" s="107">
        <v>20</v>
      </c>
      <c r="J985" s="135" t="s">
        <v>15</v>
      </c>
      <c r="K985" s="267"/>
      <c r="L985" s="107"/>
      <c r="M985" s="108"/>
      <c r="N985" s="109" t="s">
        <v>1152</v>
      </c>
    </row>
    <row r="986" spans="1:14" ht="15" x14ac:dyDescent="0.2">
      <c r="A986" s="288">
        <f t="shared" si="223"/>
        <v>900</v>
      </c>
      <c r="B986" s="292"/>
      <c r="C986" s="293"/>
      <c r="D986" s="294" t="s">
        <v>28</v>
      </c>
      <c r="E986" s="289"/>
      <c r="F986" s="289"/>
      <c r="G986" s="290">
        <f t="shared" si="224"/>
        <v>129</v>
      </c>
      <c r="H986" s="290">
        <v>600</v>
      </c>
      <c r="I986" s="290">
        <f>H986-H985</f>
        <v>472</v>
      </c>
      <c r="J986" s="290" t="s">
        <v>15</v>
      </c>
      <c r="K986" s="289"/>
      <c r="L986" s="290"/>
      <c r="M986" s="291"/>
      <c r="N986" s="295"/>
    </row>
    <row r="987" spans="1:14" ht="14.45" customHeight="1" x14ac:dyDescent="0.2">
      <c r="A987" s="324"/>
      <c r="B987" s="325"/>
      <c r="C987" s="325"/>
      <c r="D987" s="325"/>
      <c r="E987" s="325"/>
      <c r="F987" s="325"/>
      <c r="G987" s="325"/>
      <c r="H987" s="325"/>
      <c r="I987" s="325"/>
      <c r="J987" s="325"/>
      <c r="K987" s="325"/>
      <c r="L987" s="325"/>
      <c r="M987" s="325"/>
      <c r="N987" s="326"/>
    </row>
    <row r="988" spans="1:14" s="51" customFormat="1" x14ac:dyDescent="0.2">
      <c r="A988" s="169">
        <f>A986+1</f>
        <v>901</v>
      </c>
      <c r="B988" s="169"/>
      <c r="C988" s="163" t="s">
        <v>1153</v>
      </c>
      <c r="D988" s="164"/>
      <c r="E988" s="106" t="s">
        <v>14</v>
      </c>
      <c r="F988" s="106"/>
      <c r="G988" s="107">
        <f>$H$16+1</f>
        <v>7</v>
      </c>
      <c r="H988" s="107">
        <f>I988+$H$16</f>
        <v>9</v>
      </c>
      <c r="I988" s="107">
        <v>3</v>
      </c>
      <c r="J988" s="107" t="s">
        <v>18</v>
      </c>
      <c r="K988" s="106"/>
      <c r="L988" s="107"/>
      <c r="M988" s="108"/>
      <c r="N988" s="164" t="s">
        <v>1154</v>
      </c>
    </row>
    <row r="989" spans="1:14" s="51" customFormat="1" ht="15" x14ac:dyDescent="0.2">
      <c r="A989" s="169">
        <f t="shared" si="223"/>
        <v>902</v>
      </c>
      <c r="B989" s="169"/>
      <c r="C989" s="112"/>
      <c r="D989" s="105" t="s">
        <v>1155</v>
      </c>
      <c r="E989" s="124">
        <v>396</v>
      </c>
      <c r="F989" s="124"/>
      <c r="G989" s="107">
        <f>H988+1</f>
        <v>10</v>
      </c>
      <c r="H989" s="107">
        <f>H988+I989</f>
        <v>10</v>
      </c>
      <c r="I989" s="111">
        <v>1</v>
      </c>
      <c r="J989" s="111" t="s">
        <v>18</v>
      </c>
      <c r="K989" s="124"/>
      <c r="L989" s="111"/>
      <c r="M989" s="108"/>
      <c r="N989" s="108" t="s">
        <v>1156</v>
      </c>
    </row>
    <row r="990" spans="1:14" ht="15" x14ac:dyDescent="0.2">
      <c r="A990" s="169">
        <f t="shared" ref="A990:A1036" si="226">A989+1</f>
        <v>903</v>
      </c>
      <c r="B990" s="169"/>
      <c r="C990" s="112"/>
      <c r="D990" s="105" t="s">
        <v>1157</v>
      </c>
      <c r="E990" s="124">
        <v>396</v>
      </c>
      <c r="F990" s="124"/>
      <c r="G990" s="107">
        <f>H989+1</f>
        <v>11</v>
      </c>
      <c r="H990" s="107">
        <v>600</v>
      </c>
      <c r="I990" s="107">
        <f>H990-H989</f>
        <v>590</v>
      </c>
      <c r="J990" s="111" t="s">
        <v>15</v>
      </c>
      <c r="K990" s="124"/>
      <c r="L990" s="111"/>
      <c r="M990" s="108"/>
      <c r="N990" s="108"/>
    </row>
    <row r="991" spans="1:14" ht="14.45" customHeight="1" x14ac:dyDescent="0.2">
      <c r="A991" s="324"/>
      <c r="B991" s="325"/>
      <c r="C991" s="325"/>
      <c r="D991" s="325"/>
      <c r="E991" s="325"/>
      <c r="F991" s="325"/>
      <c r="G991" s="325"/>
      <c r="H991" s="325"/>
      <c r="I991" s="325"/>
      <c r="J991" s="325"/>
      <c r="K991" s="325"/>
      <c r="L991" s="325"/>
      <c r="M991" s="325"/>
      <c r="N991" s="326"/>
    </row>
    <row r="992" spans="1:14" s="51" customFormat="1" x14ac:dyDescent="0.2">
      <c r="A992" s="169">
        <v>906</v>
      </c>
      <c r="B992" s="169"/>
      <c r="C992" s="163" t="s">
        <v>1158</v>
      </c>
      <c r="D992" s="164"/>
      <c r="E992" s="106" t="s">
        <v>14</v>
      </c>
      <c r="F992" s="106"/>
      <c r="G992" s="107">
        <f>$H$16+1</f>
        <v>7</v>
      </c>
      <c r="H992" s="107">
        <f>I992+$H$16</f>
        <v>9</v>
      </c>
      <c r="I992" s="107">
        <v>3</v>
      </c>
      <c r="J992" s="107" t="s">
        <v>18</v>
      </c>
      <c r="K992" s="106"/>
      <c r="L992" s="107"/>
      <c r="M992" s="108"/>
      <c r="N992" s="164" t="s">
        <v>1159</v>
      </c>
    </row>
    <row r="993" spans="1:14" ht="15" x14ac:dyDescent="0.2">
      <c r="A993" s="169">
        <f t="shared" si="226"/>
        <v>907</v>
      </c>
      <c r="B993" s="169"/>
      <c r="C993" s="136">
        <v>1</v>
      </c>
      <c r="D993" s="105" t="s">
        <v>1160</v>
      </c>
      <c r="E993" s="124" t="s">
        <v>1161</v>
      </c>
      <c r="F993" s="124"/>
      <c r="G993" s="107">
        <f>H992+1</f>
        <v>10</v>
      </c>
      <c r="H993" s="107">
        <f>H992+I993</f>
        <v>53</v>
      </c>
      <c r="I993" s="111">
        <v>44</v>
      </c>
      <c r="J993" s="111" t="s">
        <v>18</v>
      </c>
      <c r="K993" s="124"/>
      <c r="L993" s="111"/>
      <c r="M993" s="108"/>
      <c r="N993" s="108" t="s">
        <v>1162</v>
      </c>
    </row>
    <row r="994" spans="1:14" ht="15" x14ac:dyDescent="0.2">
      <c r="A994" s="288">
        <f t="shared" si="226"/>
        <v>908</v>
      </c>
      <c r="B994" s="292"/>
      <c r="C994" s="293"/>
      <c r="D994" s="294" t="s">
        <v>28</v>
      </c>
      <c r="E994" s="289" t="s">
        <v>14</v>
      </c>
      <c r="F994" s="289"/>
      <c r="G994" s="290">
        <f>H993+1</f>
        <v>54</v>
      </c>
      <c r="H994" s="290">
        <v>600</v>
      </c>
      <c r="I994" s="290">
        <v>546</v>
      </c>
      <c r="J994" s="290" t="s">
        <v>15</v>
      </c>
      <c r="K994" s="289"/>
      <c r="L994" s="290"/>
      <c r="M994" s="291"/>
      <c r="N994" s="295"/>
    </row>
    <row r="995" spans="1:14" ht="14.45" customHeight="1" x14ac:dyDescent="0.2">
      <c r="A995" s="324"/>
      <c r="B995" s="325"/>
      <c r="C995" s="325"/>
      <c r="D995" s="325"/>
      <c r="E995" s="325"/>
      <c r="F995" s="325"/>
      <c r="G995" s="325"/>
      <c r="H995" s="325"/>
      <c r="I995" s="325"/>
      <c r="J995" s="325"/>
      <c r="K995" s="325"/>
      <c r="L995" s="325"/>
      <c r="M995" s="325"/>
      <c r="N995" s="326"/>
    </row>
    <row r="996" spans="1:14" s="51" customFormat="1" x14ac:dyDescent="0.2">
      <c r="A996" s="169">
        <v>909</v>
      </c>
      <c r="B996" s="169"/>
      <c r="C996" s="163" t="s">
        <v>1163</v>
      </c>
      <c r="D996" s="163"/>
      <c r="E996" s="106" t="s">
        <v>14</v>
      </c>
      <c r="F996" s="106"/>
      <c r="G996" s="107">
        <f>$H$16+1</f>
        <v>7</v>
      </c>
      <c r="H996" s="107">
        <f>I996+$H$16</f>
        <v>9</v>
      </c>
      <c r="I996" s="107">
        <v>3</v>
      </c>
      <c r="J996" s="107" t="s">
        <v>18</v>
      </c>
      <c r="K996" s="106"/>
      <c r="L996" s="107"/>
      <c r="M996" s="108"/>
      <c r="N996" s="164" t="s">
        <v>1164</v>
      </c>
    </row>
    <row r="997" spans="1:14" s="51" customFormat="1" ht="15" x14ac:dyDescent="0.2">
      <c r="A997" s="169">
        <f t="shared" si="226"/>
        <v>910</v>
      </c>
      <c r="B997" s="169"/>
      <c r="C997" s="136">
        <v>1</v>
      </c>
      <c r="D997" s="105" t="s">
        <v>1165</v>
      </c>
      <c r="E997" s="110" t="s">
        <v>1166</v>
      </c>
      <c r="F997" s="110"/>
      <c r="G997" s="107">
        <f t="shared" ref="G997:G1002" si="227">H996+1</f>
        <v>10</v>
      </c>
      <c r="H997" s="107">
        <f t="shared" ref="H997:H1002" si="228">H996+I997</f>
        <v>11</v>
      </c>
      <c r="I997" s="111">
        <v>2</v>
      </c>
      <c r="J997" s="111" t="s">
        <v>18</v>
      </c>
      <c r="K997" s="124"/>
      <c r="L997" s="107"/>
      <c r="M997" s="108"/>
      <c r="N997" s="115" t="s">
        <v>1167</v>
      </c>
    </row>
    <row r="998" spans="1:14" s="51" customFormat="1" ht="15.75" customHeight="1" x14ac:dyDescent="0.2">
      <c r="A998" s="169">
        <f t="shared" si="226"/>
        <v>911</v>
      </c>
      <c r="B998" s="169"/>
      <c r="C998" s="136">
        <v>2</v>
      </c>
      <c r="D998" s="105" t="s">
        <v>1168</v>
      </c>
      <c r="E998" s="110" t="s">
        <v>1169</v>
      </c>
      <c r="F998" s="110"/>
      <c r="G998" s="107">
        <f t="shared" si="227"/>
        <v>12</v>
      </c>
      <c r="H998" s="107">
        <f t="shared" si="228"/>
        <v>15</v>
      </c>
      <c r="I998" s="111">
        <v>4</v>
      </c>
      <c r="J998" s="111" t="s">
        <v>18</v>
      </c>
      <c r="K998" s="124"/>
      <c r="L998" s="107"/>
      <c r="M998" s="108" t="s">
        <v>1170</v>
      </c>
      <c r="N998" s="116"/>
    </row>
    <row r="999" spans="1:14" s="51" customFormat="1" ht="15" x14ac:dyDescent="0.2">
      <c r="A999" s="169">
        <f t="shared" si="226"/>
        <v>912</v>
      </c>
      <c r="B999" s="169"/>
      <c r="C999" s="136">
        <v>3</v>
      </c>
      <c r="D999" s="105" t="s">
        <v>1171</v>
      </c>
      <c r="E999" s="110" t="s">
        <v>1172</v>
      </c>
      <c r="F999" s="110"/>
      <c r="G999" s="107">
        <f t="shared" si="227"/>
        <v>16</v>
      </c>
      <c r="H999" s="107">
        <f t="shared" si="228"/>
        <v>29</v>
      </c>
      <c r="I999" s="111">
        <v>14</v>
      </c>
      <c r="J999" s="111" t="s">
        <v>15</v>
      </c>
      <c r="K999" s="124"/>
      <c r="L999" s="107"/>
      <c r="M999" s="108"/>
      <c r="N999" s="116"/>
    </row>
    <row r="1000" spans="1:14" s="51" customFormat="1" ht="25.5" x14ac:dyDescent="0.2">
      <c r="A1000" s="169">
        <f t="shared" si="226"/>
        <v>913</v>
      </c>
      <c r="B1000" s="169"/>
      <c r="C1000" s="136">
        <v>4</v>
      </c>
      <c r="D1000" s="105" t="s">
        <v>1173</v>
      </c>
      <c r="E1000" s="110" t="s">
        <v>1174</v>
      </c>
      <c r="F1000" s="110"/>
      <c r="G1000" s="107">
        <f t="shared" si="227"/>
        <v>30</v>
      </c>
      <c r="H1000" s="107">
        <f t="shared" si="228"/>
        <v>31</v>
      </c>
      <c r="I1000" s="111">
        <v>2</v>
      </c>
      <c r="J1000" s="111" t="s">
        <v>18</v>
      </c>
      <c r="K1000" s="124"/>
      <c r="L1000" s="107"/>
      <c r="M1000" s="108"/>
      <c r="N1000" s="116" t="s">
        <v>1175</v>
      </c>
    </row>
    <row r="1001" spans="1:14" s="51" customFormat="1" ht="15" x14ac:dyDescent="0.2">
      <c r="A1001" s="169">
        <f t="shared" si="226"/>
        <v>914</v>
      </c>
      <c r="B1001" s="169"/>
      <c r="C1001" s="136">
        <v>5</v>
      </c>
      <c r="D1001" s="105" t="s">
        <v>1176</v>
      </c>
      <c r="E1001" s="110" t="s">
        <v>1177</v>
      </c>
      <c r="F1001" s="110"/>
      <c r="G1001" s="107">
        <f t="shared" si="227"/>
        <v>32</v>
      </c>
      <c r="H1001" s="107">
        <f t="shared" si="228"/>
        <v>34</v>
      </c>
      <c r="I1001" s="111">
        <v>3</v>
      </c>
      <c r="J1001" s="111" t="s">
        <v>18</v>
      </c>
      <c r="K1001" s="124"/>
      <c r="L1001" s="107"/>
      <c r="M1001" s="108"/>
      <c r="N1001" s="116"/>
    </row>
    <row r="1002" spans="1:14" ht="15" x14ac:dyDescent="0.2">
      <c r="A1002" s="169">
        <f t="shared" si="226"/>
        <v>915</v>
      </c>
      <c r="B1002" s="169"/>
      <c r="C1002" s="136">
        <v>6</v>
      </c>
      <c r="D1002" s="105" t="s">
        <v>1178</v>
      </c>
      <c r="E1002" s="110" t="s">
        <v>1179</v>
      </c>
      <c r="F1002" s="110"/>
      <c r="G1002" s="107">
        <f t="shared" si="227"/>
        <v>35</v>
      </c>
      <c r="H1002" s="107">
        <f t="shared" si="228"/>
        <v>43</v>
      </c>
      <c r="I1002" s="111">
        <v>9</v>
      </c>
      <c r="J1002" s="111" t="s">
        <v>18</v>
      </c>
      <c r="K1002" s="124"/>
      <c r="L1002" s="107"/>
      <c r="M1002" s="108"/>
      <c r="N1002" s="116"/>
    </row>
    <row r="1003" spans="1:14" ht="15" x14ac:dyDescent="0.2">
      <c r="A1003" s="288">
        <f t="shared" si="226"/>
        <v>916</v>
      </c>
      <c r="B1003" s="292"/>
      <c r="C1003" s="293"/>
      <c r="D1003" s="294" t="s">
        <v>28</v>
      </c>
      <c r="E1003" s="289" t="s">
        <v>14</v>
      </c>
      <c r="F1003" s="289"/>
      <c r="G1003" s="290">
        <f>H1002+1</f>
        <v>44</v>
      </c>
      <c r="H1003" s="290">
        <v>600</v>
      </c>
      <c r="I1003" s="290">
        <v>556</v>
      </c>
      <c r="J1003" s="290"/>
      <c r="K1003" s="289"/>
      <c r="L1003" s="290"/>
      <c r="M1003" s="291"/>
      <c r="N1003" s="295" t="s">
        <v>29</v>
      </c>
    </row>
    <row r="1004" spans="1:14" ht="14.45" customHeight="1" x14ac:dyDescent="0.2">
      <c r="A1004" s="324"/>
      <c r="B1004" s="325"/>
      <c r="C1004" s="325"/>
      <c r="D1004" s="325"/>
      <c r="E1004" s="325"/>
      <c r="F1004" s="325"/>
      <c r="G1004" s="325"/>
      <c r="H1004" s="325"/>
      <c r="I1004" s="325"/>
      <c r="J1004" s="325"/>
      <c r="K1004" s="325"/>
      <c r="L1004" s="325"/>
      <c r="M1004" s="325"/>
      <c r="N1004" s="326"/>
    </row>
    <row r="1005" spans="1:14" x14ac:dyDescent="0.2">
      <c r="A1005" s="169">
        <v>917</v>
      </c>
      <c r="B1005" s="169"/>
      <c r="C1005" s="163" t="s">
        <v>1180</v>
      </c>
      <c r="D1005" s="164"/>
      <c r="E1005" s="106" t="s">
        <v>14</v>
      </c>
      <c r="F1005" s="106"/>
      <c r="G1005" s="107">
        <f>$H$16+1</f>
        <v>7</v>
      </c>
      <c r="H1005" s="107">
        <f>I1005+$H$16</f>
        <v>9</v>
      </c>
      <c r="I1005" s="107">
        <v>3</v>
      </c>
      <c r="J1005" s="107" t="s">
        <v>18</v>
      </c>
      <c r="K1005" s="106"/>
      <c r="L1005" s="107"/>
      <c r="M1005" s="108"/>
      <c r="N1005" s="164" t="s">
        <v>1181</v>
      </c>
    </row>
    <row r="1006" spans="1:14" ht="15" x14ac:dyDescent="0.2">
      <c r="A1006" s="169">
        <f t="shared" si="226"/>
        <v>918</v>
      </c>
      <c r="B1006" s="257"/>
      <c r="C1006" s="104"/>
      <c r="D1006" s="116" t="s">
        <v>1182</v>
      </c>
      <c r="E1006" s="110" t="s">
        <v>1183</v>
      </c>
      <c r="F1006" s="110"/>
      <c r="G1006" s="101">
        <f>H1005+1</f>
        <v>10</v>
      </c>
      <c r="H1006" s="101">
        <f>H1005+I1006</f>
        <v>11</v>
      </c>
      <c r="I1006" s="111">
        <v>2</v>
      </c>
      <c r="J1006" s="111" t="s">
        <v>18</v>
      </c>
      <c r="K1006" s="124"/>
      <c r="L1006" s="107"/>
      <c r="M1006" s="108"/>
      <c r="N1006" s="116" t="s">
        <v>1184</v>
      </c>
    </row>
    <row r="1007" spans="1:14" ht="15" x14ac:dyDescent="0.2">
      <c r="A1007" s="169">
        <f t="shared" ref="A1007:A1014" si="229">A1006+1</f>
        <v>919</v>
      </c>
      <c r="B1007" s="257"/>
      <c r="C1007" s="104"/>
      <c r="D1007" s="116" t="s">
        <v>1185</v>
      </c>
      <c r="E1007" s="110" t="s">
        <v>1186</v>
      </c>
      <c r="F1007" s="110"/>
      <c r="G1007" s="101">
        <f t="shared" ref="G1007:G1014" si="230">H1006+1</f>
        <v>12</v>
      </c>
      <c r="H1007" s="107">
        <f t="shared" ref="H1007:H1013" si="231">H1006+I1007</f>
        <v>15</v>
      </c>
      <c r="I1007" s="111">
        <v>4</v>
      </c>
      <c r="J1007" s="111" t="s">
        <v>18</v>
      </c>
      <c r="K1007" s="124"/>
      <c r="L1007" s="107"/>
      <c r="M1007" s="108" t="s">
        <v>1170</v>
      </c>
      <c r="N1007" s="116" t="s">
        <v>1185</v>
      </c>
    </row>
    <row r="1008" spans="1:14" ht="15" x14ac:dyDescent="0.2">
      <c r="A1008" s="169">
        <f t="shared" si="229"/>
        <v>920</v>
      </c>
      <c r="B1008" s="257"/>
      <c r="C1008" s="104"/>
      <c r="D1008" s="116" t="s">
        <v>1171</v>
      </c>
      <c r="E1008" s="110" t="s">
        <v>1187</v>
      </c>
      <c r="F1008" s="110"/>
      <c r="G1008" s="101">
        <f t="shared" si="230"/>
        <v>16</v>
      </c>
      <c r="H1008" s="107">
        <f t="shared" si="231"/>
        <v>29</v>
      </c>
      <c r="I1008" s="111">
        <v>14</v>
      </c>
      <c r="J1008" s="111" t="s">
        <v>15</v>
      </c>
      <c r="K1008" s="124"/>
      <c r="L1008" s="107"/>
      <c r="M1008" s="108"/>
      <c r="N1008" s="116" t="s">
        <v>1171</v>
      </c>
    </row>
    <row r="1009" spans="1:14" ht="15" x14ac:dyDescent="0.2">
      <c r="A1009" s="169">
        <f t="shared" si="229"/>
        <v>921</v>
      </c>
      <c r="B1009" s="257"/>
      <c r="C1009" s="104"/>
      <c r="D1009" s="116" t="s">
        <v>1188</v>
      </c>
      <c r="E1009" s="110" t="s">
        <v>1189</v>
      </c>
      <c r="F1009" s="110"/>
      <c r="G1009" s="107">
        <f t="shared" si="230"/>
        <v>30</v>
      </c>
      <c r="H1009" s="107">
        <f t="shared" si="231"/>
        <v>40</v>
      </c>
      <c r="I1009" s="111">
        <v>11</v>
      </c>
      <c r="J1009" s="111" t="s">
        <v>15</v>
      </c>
      <c r="K1009" s="124"/>
      <c r="L1009" s="107"/>
      <c r="M1009" s="108"/>
      <c r="N1009" s="116" t="s">
        <v>1188</v>
      </c>
    </row>
    <row r="1010" spans="1:14" ht="15" x14ac:dyDescent="0.2">
      <c r="A1010" s="169">
        <f t="shared" si="229"/>
        <v>922</v>
      </c>
      <c r="B1010" s="257"/>
      <c r="C1010" s="104"/>
      <c r="D1010" s="105" t="s">
        <v>1190</v>
      </c>
      <c r="E1010" s="110" t="s">
        <v>1191</v>
      </c>
      <c r="F1010" s="110"/>
      <c r="G1010" s="107">
        <f t="shared" si="230"/>
        <v>41</v>
      </c>
      <c r="H1010" s="107">
        <f t="shared" si="231"/>
        <v>54</v>
      </c>
      <c r="I1010" s="111">
        <v>14</v>
      </c>
      <c r="J1010" s="111" t="s">
        <v>15</v>
      </c>
      <c r="K1010" s="124"/>
      <c r="L1010" s="107"/>
      <c r="M1010" s="108"/>
      <c r="N1010" s="116" t="s">
        <v>1192</v>
      </c>
    </row>
    <row r="1011" spans="1:14" ht="15" x14ac:dyDescent="0.2">
      <c r="A1011" s="169">
        <f t="shared" si="229"/>
        <v>923</v>
      </c>
      <c r="B1011" s="257"/>
      <c r="C1011" s="104"/>
      <c r="D1011" s="105" t="s">
        <v>1193</v>
      </c>
      <c r="E1011" s="110" t="s">
        <v>1194</v>
      </c>
      <c r="F1011" s="110"/>
      <c r="G1011" s="107">
        <f t="shared" si="230"/>
        <v>55</v>
      </c>
      <c r="H1011" s="107">
        <f t="shared" si="231"/>
        <v>56</v>
      </c>
      <c r="I1011" s="111">
        <v>2</v>
      </c>
      <c r="J1011" s="111" t="s">
        <v>18</v>
      </c>
      <c r="K1011" s="124"/>
      <c r="L1011" s="107"/>
      <c r="M1011" s="108"/>
      <c r="N1011" s="116" t="s">
        <v>1195</v>
      </c>
    </row>
    <row r="1012" spans="1:14" ht="15" x14ac:dyDescent="0.2">
      <c r="A1012" s="169">
        <f t="shared" si="229"/>
        <v>924</v>
      </c>
      <c r="B1012" s="257"/>
      <c r="C1012" s="104"/>
      <c r="D1012" s="105" t="s">
        <v>1196</v>
      </c>
      <c r="E1012" s="110" t="s">
        <v>1197</v>
      </c>
      <c r="F1012" s="110"/>
      <c r="G1012" s="107">
        <f t="shared" si="230"/>
        <v>57</v>
      </c>
      <c r="H1012" s="107">
        <f t="shared" si="231"/>
        <v>59</v>
      </c>
      <c r="I1012" s="111">
        <v>3</v>
      </c>
      <c r="J1012" s="111" t="s">
        <v>18</v>
      </c>
      <c r="K1012" s="124"/>
      <c r="L1012" s="107"/>
      <c r="M1012" s="108"/>
      <c r="N1012" s="116" t="s">
        <v>1198</v>
      </c>
    </row>
    <row r="1013" spans="1:14" ht="15" x14ac:dyDescent="0.2">
      <c r="A1013" s="169">
        <f t="shared" si="229"/>
        <v>925</v>
      </c>
      <c r="B1013" s="257"/>
      <c r="C1013" s="104"/>
      <c r="D1013" s="105" t="s">
        <v>1199</v>
      </c>
      <c r="E1013" s="110" t="s">
        <v>1200</v>
      </c>
      <c r="F1013" s="110"/>
      <c r="G1013" s="107">
        <f t="shared" si="230"/>
        <v>60</v>
      </c>
      <c r="H1013" s="107">
        <f t="shared" si="231"/>
        <v>68</v>
      </c>
      <c r="I1013" s="111">
        <v>9</v>
      </c>
      <c r="J1013" s="111" t="s">
        <v>18</v>
      </c>
      <c r="K1013" s="124"/>
      <c r="L1013" s="107"/>
      <c r="M1013" s="108"/>
      <c r="N1013" s="116" t="s">
        <v>1201</v>
      </c>
    </row>
    <row r="1014" spans="1:14" ht="15" x14ac:dyDescent="0.2">
      <c r="A1014" s="288">
        <f t="shared" si="229"/>
        <v>926</v>
      </c>
      <c r="B1014" s="292"/>
      <c r="C1014" s="293"/>
      <c r="D1014" s="294" t="s">
        <v>28</v>
      </c>
      <c r="E1014" s="289" t="s">
        <v>14</v>
      </c>
      <c r="F1014" s="289"/>
      <c r="G1014" s="290">
        <f t="shared" si="230"/>
        <v>69</v>
      </c>
      <c r="H1014" s="290">
        <v>600</v>
      </c>
      <c r="I1014" s="290">
        <v>531</v>
      </c>
      <c r="J1014" s="290" t="s">
        <v>18</v>
      </c>
      <c r="K1014" s="289"/>
      <c r="L1014" s="290"/>
      <c r="M1014" s="291"/>
      <c r="N1014" s="295" t="s">
        <v>29</v>
      </c>
    </row>
    <row r="1015" spans="1:14" ht="14.45" customHeight="1" x14ac:dyDescent="0.2">
      <c r="A1015" s="324"/>
      <c r="B1015" s="325"/>
      <c r="C1015" s="325"/>
      <c r="D1015" s="325"/>
      <c r="E1015" s="325"/>
      <c r="F1015" s="325"/>
      <c r="G1015" s="325"/>
      <c r="H1015" s="325"/>
      <c r="I1015" s="325"/>
      <c r="J1015" s="325"/>
      <c r="K1015" s="325"/>
      <c r="L1015" s="325"/>
      <c r="M1015" s="325"/>
      <c r="N1015" s="326"/>
    </row>
    <row r="1016" spans="1:14" x14ac:dyDescent="0.2">
      <c r="A1016" s="169">
        <v>927</v>
      </c>
      <c r="B1016" s="169"/>
      <c r="C1016" s="163" t="s">
        <v>1202</v>
      </c>
      <c r="D1016" s="164"/>
      <c r="E1016" s="106" t="s">
        <v>14</v>
      </c>
      <c r="F1016" s="106"/>
      <c r="G1016" s="107">
        <f>$H$16+1</f>
        <v>7</v>
      </c>
      <c r="H1016" s="107">
        <f>I1016+$H$16</f>
        <v>9</v>
      </c>
      <c r="I1016" s="107">
        <v>3</v>
      </c>
      <c r="J1016" s="107" t="s">
        <v>18</v>
      </c>
      <c r="K1016" s="106"/>
      <c r="L1016" s="107"/>
      <c r="M1016" s="108"/>
      <c r="N1016" s="164" t="s">
        <v>1203</v>
      </c>
    </row>
    <row r="1017" spans="1:14" ht="15" x14ac:dyDescent="0.2">
      <c r="A1017" s="169">
        <f>A1016+1</f>
        <v>928</v>
      </c>
      <c r="B1017" s="257"/>
      <c r="C1017" s="104"/>
      <c r="D1017" s="105" t="s">
        <v>1204</v>
      </c>
      <c r="E1017" s="110" t="s">
        <v>1205</v>
      </c>
      <c r="F1017" s="110"/>
      <c r="G1017" s="107">
        <f>H1016+1</f>
        <v>10</v>
      </c>
      <c r="H1017" s="107">
        <f>H1016+I1017</f>
        <v>53</v>
      </c>
      <c r="I1017" s="111">
        <v>44</v>
      </c>
      <c r="J1017" s="111" t="s">
        <v>18</v>
      </c>
      <c r="K1017" s="124"/>
      <c r="L1017" s="107"/>
      <c r="M1017" s="108"/>
      <c r="N1017" s="116" t="s">
        <v>1206</v>
      </c>
    </row>
    <row r="1018" spans="1:14" ht="15" x14ac:dyDescent="0.2">
      <c r="A1018" s="288">
        <f>A1017+1</f>
        <v>929</v>
      </c>
      <c r="B1018" s="292"/>
      <c r="C1018" s="293"/>
      <c r="D1018" s="294" t="s">
        <v>28</v>
      </c>
      <c r="E1018" s="289" t="s">
        <v>14</v>
      </c>
      <c r="F1018" s="289"/>
      <c r="G1018" s="290">
        <f>H1017+1</f>
        <v>54</v>
      </c>
      <c r="H1018" s="290">
        <v>600</v>
      </c>
      <c r="I1018" s="290">
        <v>546</v>
      </c>
      <c r="J1018" s="290" t="s">
        <v>15</v>
      </c>
      <c r="K1018" s="289"/>
      <c r="L1018" s="290"/>
      <c r="M1018" s="291"/>
      <c r="N1018" s="295" t="s">
        <v>29</v>
      </c>
    </row>
    <row r="1019" spans="1:14" ht="14.45" customHeight="1" x14ac:dyDescent="0.2">
      <c r="A1019" s="324">
        <f t="shared" si="226"/>
        <v>930</v>
      </c>
      <c r="B1019" s="325"/>
      <c r="C1019" s="325"/>
      <c r="D1019" s="325"/>
      <c r="E1019" s="325"/>
      <c r="F1019" s="325"/>
      <c r="G1019" s="325"/>
      <c r="H1019" s="325"/>
      <c r="I1019" s="325"/>
      <c r="J1019" s="325"/>
      <c r="K1019" s="325"/>
      <c r="L1019" s="325"/>
      <c r="M1019" s="325"/>
      <c r="N1019" s="326"/>
    </row>
    <row r="1020" spans="1:14" ht="54.75" customHeight="1" x14ac:dyDescent="0.2">
      <c r="A1020" s="169">
        <f t="shared" si="226"/>
        <v>931</v>
      </c>
      <c r="B1020" s="169"/>
      <c r="C1020" s="163" t="s">
        <v>1207</v>
      </c>
      <c r="D1020" s="164"/>
      <c r="E1020" s="106" t="s">
        <v>14</v>
      </c>
      <c r="F1020" s="106"/>
      <c r="G1020" s="107">
        <f>$H$16+1</f>
        <v>7</v>
      </c>
      <c r="H1020" s="107">
        <f>I1020+$H$16</f>
        <v>9</v>
      </c>
      <c r="I1020" s="107">
        <v>3</v>
      </c>
      <c r="J1020" s="107" t="s">
        <v>18</v>
      </c>
      <c r="K1020" s="106"/>
      <c r="L1020" s="107"/>
      <c r="M1020" s="108"/>
      <c r="N1020" s="164" t="s">
        <v>1208</v>
      </c>
    </row>
    <row r="1021" spans="1:14" ht="51" x14ac:dyDescent="0.2">
      <c r="A1021" s="169">
        <f t="shared" si="226"/>
        <v>932</v>
      </c>
      <c r="B1021" s="257"/>
      <c r="C1021" s="104"/>
      <c r="D1021" s="105" t="s">
        <v>1173</v>
      </c>
      <c r="E1021" s="110" t="s">
        <v>1209</v>
      </c>
      <c r="F1021" s="110"/>
      <c r="G1021" s="101">
        <f>H1020+1</f>
        <v>10</v>
      </c>
      <c r="H1021" s="101">
        <f>H1020+I1021</f>
        <v>11</v>
      </c>
      <c r="I1021" s="111">
        <v>2</v>
      </c>
      <c r="J1021" s="111" t="s">
        <v>15</v>
      </c>
      <c r="K1021" s="124"/>
      <c r="L1021" s="107"/>
      <c r="M1021" s="108"/>
      <c r="N1021" s="116" t="s">
        <v>1210</v>
      </c>
    </row>
    <row r="1022" spans="1:14" ht="15" x14ac:dyDescent="0.2">
      <c r="A1022" s="169">
        <f t="shared" si="226"/>
        <v>933</v>
      </c>
      <c r="B1022" s="257"/>
      <c r="C1022" s="104"/>
      <c r="D1022" s="105" t="s">
        <v>1211</v>
      </c>
      <c r="E1022" s="110" t="s">
        <v>1212</v>
      </c>
      <c r="F1022" s="110"/>
      <c r="G1022" s="107">
        <f>H1021+1</f>
        <v>12</v>
      </c>
      <c r="H1022" s="107">
        <f>H1021+I1022</f>
        <v>14</v>
      </c>
      <c r="I1022" s="111">
        <v>3</v>
      </c>
      <c r="J1022" s="111" t="s">
        <v>18</v>
      </c>
      <c r="K1022" s="124"/>
      <c r="L1022" s="107"/>
      <c r="M1022" s="108"/>
      <c r="N1022" s="116" t="s">
        <v>1213</v>
      </c>
    </row>
    <row r="1023" spans="1:14" ht="15" x14ac:dyDescent="0.2">
      <c r="A1023" s="169">
        <f t="shared" si="226"/>
        <v>934</v>
      </c>
      <c r="B1023" s="257"/>
      <c r="C1023" s="104"/>
      <c r="D1023" s="105" t="s">
        <v>1214</v>
      </c>
      <c r="E1023" s="110" t="s">
        <v>1215</v>
      </c>
      <c r="F1023" s="110"/>
      <c r="G1023" s="107">
        <f>H1022+1</f>
        <v>15</v>
      </c>
      <c r="H1023" s="107">
        <f>H1022+I1023</f>
        <v>20</v>
      </c>
      <c r="I1023" s="111">
        <v>6</v>
      </c>
      <c r="J1023" s="111" t="s">
        <v>18</v>
      </c>
      <c r="K1023" s="124"/>
      <c r="L1023" s="107"/>
      <c r="M1023" s="108"/>
      <c r="N1023" s="116" t="s">
        <v>1216</v>
      </c>
    </row>
    <row r="1024" spans="1:14" x14ac:dyDescent="0.2">
      <c r="A1024" s="169">
        <f t="shared" si="226"/>
        <v>935</v>
      </c>
      <c r="B1024" s="169"/>
      <c r="C1024" s="112"/>
      <c r="D1024" s="112" t="s">
        <v>28</v>
      </c>
      <c r="E1024" s="106" t="s">
        <v>14</v>
      </c>
      <c r="F1024" s="106"/>
      <c r="G1024" s="107">
        <f>H1023+1</f>
        <v>21</v>
      </c>
      <c r="H1024" s="107">
        <v>600</v>
      </c>
      <c r="I1024" s="107">
        <v>579</v>
      </c>
      <c r="J1024" s="107" t="s">
        <v>15</v>
      </c>
      <c r="K1024" s="106"/>
      <c r="L1024" s="107"/>
      <c r="M1024" s="108"/>
      <c r="N1024" s="108" t="s">
        <v>29</v>
      </c>
    </row>
    <row r="1025" spans="1:14" x14ac:dyDescent="0.2">
      <c r="A1025" s="169">
        <f t="shared" si="226"/>
        <v>936</v>
      </c>
      <c r="B1025" s="169"/>
      <c r="C1025" s="111"/>
      <c r="D1025" s="112"/>
      <c r="E1025" s="106"/>
      <c r="F1025" s="106"/>
      <c r="G1025" s="107"/>
      <c r="H1025" s="107"/>
      <c r="I1025" s="107"/>
      <c r="J1025" s="107"/>
      <c r="K1025" s="106"/>
      <c r="L1025" s="107"/>
      <c r="M1025" s="108"/>
      <c r="N1025" s="114"/>
    </row>
    <row r="1026" spans="1:14" x14ac:dyDescent="0.2">
      <c r="A1026" s="169">
        <f t="shared" si="226"/>
        <v>937</v>
      </c>
      <c r="B1026" s="169"/>
      <c r="C1026" s="112" t="s">
        <v>1217</v>
      </c>
      <c r="D1026" s="108"/>
      <c r="E1026" s="106" t="s">
        <v>14</v>
      </c>
      <c r="F1026" s="106"/>
      <c r="G1026" s="107">
        <f>$H$16+1</f>
        <v>7</v>
      </c>
      <c r="H1026" s="107">
        <f>I1026+$H$16</f>
        <v>9</v>
      </c>
      <c r="I1026" s="107">
        <v>3</v>
      </c>
      <c r="J1026" s="107" t="s">
        <v>18</v>
      </c>
      <c r="K1026" s="106"/>
      <c r="L1026" s="107"/>
      <c r="M1026" s="108"/>
      <c r="N1026" s="108" t="s">
        <v>1218</v>
      </c>
    </row>
    <row r="1027" spans="1:14" x14ac:dyDescent="0.2">
      <c r="A1027" s="169">
        <f t="shared" si="226"/>
        <v>938</v>
      </c>
      <c r="B1027" s="169"/>
      <c r="C1027" s="111"/>
      <c r="D1027" s="112" t="s">
        <v>1219</v>
      </c>
      <c r="E1027" s="106" t="s">
        <v>1220</v>
      </c>
      <c r="F1027" s="106"/>
      <c r="G1027" s="107">
        <f>H1026+1</f>
        <v>10</v>
      </c>
      <c r="H1027" s="107">
        <f>G1027+I1027</f>
        <v>30</v>
      </c>
      <c r="I1027" s="107">
        <v>20</v>
      </c>
      <c r="J1027" s="107" t="s">
        <v>15</v>
      </c>
      <c r="K1027" s="106"/>
      <c r="L1027" s="107"/>
      <c r="M1027" s="108"/>
      <c r="N1027" s="114"/>
    </row>
    <row r="1028" spans="1:14" x14ac:dyDescent="0.2">
      <c r="A1028" s="169">
        <f t="shared" si="226"/>
        <v>939</v>
      </c>
      <c r="B1028" s="169"/>
      <c r="C1028" s="111"/>
      <c r="D1028" s="112" t="s">
        <v>1221</v>
      </c>
      <c r="E1028" s="106" t="s">
        <v>1220</v>
      </c>
      <c r="F1028" s="106"/>
      <c r="G1028" s="107">
        <f>H1027+1</f>
        <v>31</v>
      </c>
      <c r="H1028" s="107">
        <f>G1028+I1028</f>
        <v>91</v>
      </c>
      <c r="I1028" s="107">
        <v>60</v>
      </c>
      <c r="J1028" s="107" t="s">
        <v>15</v>
      </c>
      <c r="K1028" s="106"/>
      <c r="L1028" s="107"/>
      <c r="M1028" s="108"/>
      <c r="N1028" s="114"/>
    </row>
    <row r="1029" spans="1:14" x14ac:dyDescent="0.2">
      <c r="A1029" s="169">
        <f t="shared" si="226"/>
        <v>940</v>
      </c>
      <c r="B1029" s="169"/>
      <c r="C1029" s="112"/>
      <c r="D1029" s="112" t="s">
        <v>28</v>
      </c>
      <c r="E1029" s="106" t="s">
        <v>14</v>
      </c>
      <c r="F1029" s="106"/>
      <c r="G1029" s="107">
        <f>H1028+1</f>
        <v>92</v>
      </c>
      <c r="H1029" s="107">
        <v>600</v>
      </c>
      <c r="I1029" s="107">
        <f>H1029-H1028</f>
        <v>509</v>
      </c>
      <c r="J1029" s="107" t="s">
        <v>15</v>
      </c>
      <c r="K1029" s="106"/>
      <c r="L1029" s="107"/>
      <c r="M1029" s="108"/>
      <c r="N1029" s="108" t="s">
        <v>29</v>
      </c>
    </row>
    <row r="1030" spans="1:14" x14ac:dyDescent="0.2">
      <c r="A1030" s="169">
        <f t="shared" si="226"/>
        <v>941</v>
      </c>
      <c r="B1030" s="169"/>
      <c r="C1030" s="112" t="s">
        <v>1222</v>
      </c>
      <c r="D1030" s="108"/>
      <c r="E1030" s="106" t="s">
        <v>14</v>
      </c>
      <c r="F1030" s="106"/>
      <c r="G1030" s="107">
        <f>$H$16+1</f>
        <v>7</v>
      </c>
      <c r="H1030" s="107">
        <f>I1030+$H$16</f>
        <v>9</v>
      </c>
      <c r="I1030" s="107">
        <v>3</v>
      </c>
      <c r="J1030" s="107" t="s">
        <v>18</v>
      </c>
      <c r="K1030" s="106"/>
      <c r="L1030" s="107"/>
      <c r="M1030" s="108"/>
      <c r="N1030" s="108" t="s">
        <v>1223</v>
      </c>
    </row>
    <row r="1031" spans="1:14" x14ac:dyDescent="0.2">
      <c r="A1031" s="169">
        <f t="shared" si="226"/>
        <v>942</v>
      </c>
      <c r="B1031" s="169"/>
      <c r="C1031" s="111"/>
      <c r="D1031" s="112" t="s">
        <v>1219</v>
      </c>
      <c r="E1031" s="106" t="s">
        <v>1224</v>
      </c>
      <c r="F1031" s="106"/>
      <c r="G1031" s="107">
        <f>H1030+1</f>
        <v>10</v>
      </c>
      <c r="H1031" s="107">
        <f>G1031+I1031</f>
        <v>30</v>
      </c>
      <c r="I1031" s="107">
        <v>20</v>
      </c>
      <c r="J1031" s="107" t="s">
        <v>15</v>
      </c>
      <c r="K1031" s="106"/>
      <c r="L1031" s="107"/>
      <c r="M1031" s="108"/>
      <c r="N1031" s="114"/>
    </row>
    <row r="1032" spans="1:14" x14ac:dyDescent="0.2">
      <c r="A1032" s="169">
        <f t="shared" si="226"/>
        <v>943</v>
      </c>
      <c r="B1032" s="169"/>
      <c r="C1032" s="111"/>
      <c r="D1032" s="112" t="s">
        <v>1221</v>
      </c>
      <c r="E1032" s="106" t="s">
        <v>1224</v>
      </c>
      <c r="F1032" s="106"/>
      <c r="G1032" s="107">
        <f>H1031+1</f>
        <v>31</v>
      </c>
      <c r="H1032" s="107">
        <f>G1032+I1032</f>
        <v>91</v>
      </c>
      <c r="I1032" s="107">
        <v>60</v>
      </c>
      <c r="J1032" s="107" t="s">
        <v>15</v>
      </c>
      <c r="K1032" s="106"/>
      <c r="L1032" s="107"/>
      <c r="M1032" s="108"/>
      <c r="N1032" s="114"/>
    </row>
    <row r="1033" spans="1:14" ht="15" x14ac:dyDescent="0.2">
      <c r="A1033" s="288">
        <f t="shared" si="226"/>
        <v>944</v>
      </c>
      <c r="B1033" s="292"/>
      <c r="C1033" s="293"/>
      <c r="D1033" s="294" t="s">
        <v>28</v>
      </c>
      <c r="E1033" s="289" t="s">
        <v>14</v>
      </c>
      <c r="F1033" s="289"/>
      <c r="G1033" s="290">
        <f>H1032+1</f>
        <v>92</v>
      </c>
      <c r="H1033" s="290">
        <v>600</v>
      </c>
      <c r="I1033" s="290">
        <f>H1033-H1032</f>
        <v>509</v>
      </c>
      <c r="J1033" s="290" t="s">
        <v>15</v>
      </c>
      <c r="K1033" s="289"/>
      <c r="L1033" s="290"/>
      <c r="M1033" s="291"/>
      <c r="N1033" s="295" t="s">
        <v>29</v>
      </c>
    </row>
    <row r="1034" spans="1:14" ht="14.45" customHeight="1" x14ac:dyDescent="0.2">
      <c r="A1034" s="324"/>
      <c r="B1034" s="325"/>
      <c r="C1034" s="325"/>
      <c r="D1034" s="325"/>
      <c r="E1034" s="325"/>
      <c r="F1034" s="325"/>
      <c r="G1034" s="325"/>
      <c r="H1034" s="325"/>
      <c r="I1034" s="325"/>
      <c r="J1034" s="325"/>
      <c r="K1034" s="325"/>
      <c r="L1034" s="325"/>
      <c r="M1034" s="325"/>
      <c r="N1034" s="326"/>
    </row>
    <row r="1035" spans="1:14" x14ac:dyDescent="0.2">
      <c r="A1035" s="169">
        <f>A1033+1</f>
        <v>945</v>
      </c>
      <c r="B1035" s="169"/>
      <c r="C1035" s="221" t="s">
        <v>1225</v>
      </c>
      <c r="D1035" s="221"/>
      <c r="E1035" s="221"/>
      <c r="F1035" s="221"/>
      <c r="G1035" s="221"/>
      <c r="H1035" s="221"/>
      <c r="I1035" s="107"/>
      <c r="J1035" s="107"/>
      <c r="K1035" s="106"/>
      <c r="L1035" s="107"/>
      <c r="M1035" s="108"/>
      <c r="N1035" s="114"/>
    </row>
    <row r="1036" spans="1:14" x14ac:dyDescent="0.2">
      <c r="A1036" s="169">
        <f t="shared" si="226"/>
        <v>946</v>
      </c>
      <c r="B1036" s="169"/>
      <c r="C1036" s="112"/>
      <c r="D1036" s="112"/>
      <c r="E1036" s="106"/>
      <c r="F1036" s="106"/>
      <c r="G1036" s="107"/>
      <c r="H1036" s="107"/>
      <c r="I1036" s="107"/>
      <c r="J1036" s="107"/>
      <c r="K1036" s="106"/>
      <c r="L1036" s="107"/>
      <c r="M1036" s="108"/>
      <c r="N1036" s="114"/>
    </row>
    <row r="1037" spans="1:14" x14ac:dyDescent="0.2">
      <c r="C1037" s="11"/>
      <c r="E1037" s="58"/>
      <c r="F1037" s="58"/>
      <c r="G1037" s="4"/>
      <c r="H1037" s="4"/>
      <c r="I1037" s="4"/>
      <c r="J1037" s="4"/>
      <c r="K1037" s="58"/>
      <c r="L1037" s="4"/>
      <c r="N1037" s="117"/>
    </row>
    <row r="1038" spans="1:14" x14ac:dyDescent="0.2">
      <c r="A1038" s="7" t="s">
        <v>2</v>
      </c>
      <c r="B1038" s="7"/>
      <c r="C1038" s="12" t="s">
        <v>3</v>
      </c>
      <c r="D1038" s="8"/>
      <c r="E1038" s="59"/>
      <c r="F1038" s="59"/>
      <c r="G1038" s="7" t="s">
        <v>5</v>
      </c>
      <c r="H1038" s="7" t="s">
        <v>6</v>
      </c>
      <c r="I1038" s="7" t="s">
        <v>7</v>
      </c>
      <c r="J1038" s="7" t="s">
        <v>8</v>
      </c>
      <c r="K1038" s="59"/>
      <c r="L1038" s="7" t="s">
        <v>9</v>
      </c>
      <c r="M1038" s="7" t="s">
        <v>10</v>
      </c>
      <c r="N1038" s="118" t="s">
        <v>11</v>
      </c>
    </row>
    <row r="1039" spans="1:14" x14ac:dyDescent="0.2">
      <c r="A1039" s="330" t="s">
        <v>1226</v>
      </c>
      <c r="B1039" s="331"/>
      <c r="C1039" s="331"/>
      <c r="D1039" s="331"/>
      <c r="E1039" s="60"/>
      <c r="F1039" s="60"/>
      <c r="G1039" s="40"/>
      <c r="H1039" s="40"/>
      <c r="I1039" s="40"/>
      <c r="J1039" s="40"/>
      <c r="K1039" s="60"/>
      <c r="L1039" s="40"/>
      <c r="M1039" s="40"/>
      <c r="N1039" s="119"/>
    </row>
    <row r="1040" spans="1:14" x14ac:dyDescent="0.2">
      <c r="A1040" s="2">
        <v>1</v>
      </c>
      <c r="B1040" s="2"/>
      <c r="C1040" s="10" t="s">
        <v>13</v>
      </c>
      <c r="D1040" s="3"/>
      <c r="E1040" s="29" t="s">
        <v>14</v>
      </c>
      <c r="F1040" s="29"/>
      <c r="G1040" s="28">
        <v>1</v>
      </c>
      <c r="H1040" s="28">
        <f>I1040</f>
        <v>6</v>
      </c>
      <c r="I1040" s="28">
        <v>6</v>
      </c>
      <c r="J1040" s="28" t="s">
        <v>15</v>
      </c>
      <c r="K1040" s="29"/>
      <c r="L1040" s="28"/>
      <c r="M1040" s="3"/>
      <c r="N1040" s="108" t="s">
        <v>1227</v>
      </c>
    </row>
    <row r="1041" spans="1:14" x14ac:dyDescent="0.2">
      <c r="A1041" s="2">
        <v>2</v>
      </c>
      <c r="B1041" s="2"/>
      <c r="C1041" s="10" t="s">
        <v>17</v>
      </c>
      <c r="D1041" s="3"/>
      <c r="E1041" s="29" t="s">
        <v>14</v>
      </c>
      <c r="F1041" s="29"/>
      <c r="G1041" s="28">
        <f t="shared" ref="G1041:G1047" si="232">H1040+1</f>
        <v>7</v>
      </c>
      <c r="H1041" s="28">
        <f t="shared" ref="H1041:H1046" si="233">H1040+I1041</f>
        <v>14</v>
      </c>
      <c r="I1041" s="28">
        <v>8</v>
      </c>
      <c r="J1041" s="28" t="s">
        <v>18</v>
      </c>
      <c r="K1041" s="29"/>
      <c r="L1041" s="28"/>
      <c r="M1041" s="3" t="s">
        <v>19</v>
      </c>
      <c r="N1041" s="108" t="s">
        <v>1228</v>
      </c>
    </row>
    <row r="1042" spans="1:14" x14ac:dyDescent="0.2">
      <c r="A1042" s="2">
        <v>3</v>
      </c>
      <c r="B1042" s="2"/>
      <c r="C1042" s="10" t="s">
        <v>21</v>
      </c>
      <c r="D1042" s="3"/>
      <c r="E1042" s="29" t="s">
        <v>14</v>
      </c>
      <c r="F1042" s="29"/>
      <c r="G1042" s="28">
        <f t="shared" si="232"/>
        <v>15</v>
      </c>
      <c r="H1042" s="28">
        <f t="shared" si="233"/>
        <v>23</v>
      </c>
      <c r="I1042" s="28">
        <v>9</v>
      </c>
      <c r="J1042" s="28" t="s">
        <v>18</v>
      </c>
      <c r="K1042" s="29"/>
      <c r="L1042" s="28"/>
      <c r="M1042" s="3" t="s">
        <v>22</v>
      </c>
      <c r="N1042" s="108" t="s">
        <v>1228</v>
      </c>
    </row>
    <row r="1043" spans="1:14" x14ac:dyDescent="0.2">
      <c r="A1043" s="2">
        <v>4</v>
      </c>
      <c r="B1043" s="2"/>
      <c r="C1043" s="10" t="s">
        <v>24</v>
      </c>
      <c r="D1043" s="3"/>
      <c r="E1043" s="29" t="s">
        <v>14</v>
      </c>
      <c r="F1043" s="29"/>
      <c r="G1043" s="28">
        <f t="shared" si="232"/>
        <v>24</v>
      </c>
      <c r="H1043" s="28">
        <f t="shared" si="233"/>
        <v>48</v>
      </c>
      <c r="I1043" s="28">
        <v>25</v>
      </c>
      <c r="J1043" s="28" t="s">
        <v>15</v>
      </c>
      <c r="K1043" s="29"/>
      <c r="L1043" s="28"/>
      <c r="M1043" s="3"/>
      <c r="N1043" s="108" t="s">
        <v>1228</v>
      </c>
    </row>
    <row r="1044" spans="1:14" x14ac:dyDescent="0.2">
      <c r="A1044" s="2">
        <v>5</v>
      </c>
      <c r="B1044" s="2"/>
      <c r="C1044" s="10" t="s">
        <v>26</v>
      </c>
      <c r="D1044" s="3"/>
      <c r="E1044" s="29" t="s">
        <v>14</v>
      </c>
      <c r="F1044" s="29"/>
      <c r="G1044" s="28">
        <f t="shared" si="232"/>
        <v>49</v>
      </c>
      <c r="H1044" s="28">
        <f t="shared" si="233"/>
        <v>62</v>
      </c>
      <c r="I1044" s="28">
        <v>14</v>
      </c>
      <c r="J1044" s="28" t="s">
        <v>18</v>
      </c>
      <c r="K1044" s="29"/>
      <c r="L1044" s="28"/>
      <c r="M1044" s="3"/>
      <c r="N1044" s="108" t="s">
        <v>1228</v>
      </c>
    </row>
    <row r="1045" spans="1:14" x14ac:dyDescent="0.2">
      <c r="A1045" s="2">
        <v>6</v>
      </c>
      <c r="B1045" s="2"/>
      <c r="C1045" s="10" t="s">
        <v>1229</v>
      </c>
      <c r="D1045" s="3"/>
      <c r="E1045" s="29" t="s">
        <v>14</v>
      </c>
      <c r="F1045" s="29"/>
      <c r="G1045" s="28">
        <f t="shared" si="232"/>
        <v>63</v>
      </c>
      <c r="H1045" s="28">
        <f t="shared" si="233"/>
        <v>68</v>
      </c>
      <c r="I1045" s="28">
        <v>6</v>
      </c>
      <c r="J1045" s="28" t="s">
        <v>18</v>
      </c>
      <c r="K1045" s="29"/>
      <c r="L1045" s="28"/>
      <c r="M1045" s="3"/>
      <c r="N1045" s="108" t="s">
        <v>1230</v>
      </c>
    </row>
    <row r="1046" spans="1:14" ht="25.5" x14ac:dyDescent="0.2">
      <c r="A1046" s="2">
        <v>7</v>
      </c>
      <c r="B1046" s="2"/>
      <c r="C1046" s="10" t="s">
        <v>1231</v>
      </c>
      <c r="D1046" s="3"/>
      <c r="E1046" s="29" t="s">
        <v>14</v>
      </c>
      <c r="F1046" s="29"/>
      <c r="G1046" s="28">
        <f t="shared" si="232"/>
        <v>69</v>
      </c>
      <c r="H1046" s="28">
        <f t="shared" si="233"/>
        <v>70</v>
      </c>
      <c r="I1046" s="28">
        <v>2</v>
      </c>
      <c r="J1046" s="28" t="s">
        <v>18</v>
      </c>
      <c r="K1046" s="29"/>
      <c r="L1046" s="28"/>
      <c r="M1046" s="3"/>
      <c r="N1046" s="108" t="s">
        <v>1232</v>
      </c>
    </row>
    <row r="1047" spans="1:14" ht="15" x14ac:dyDescent="0.2">
      <c r="A1047" s="288">
        <v>8</v>
      </c>
      <c r="B1047" s="292"/>
      <c r="C1047" s="293" t="s">
        <v>28</v>
      </c>
      <c r="D1047" s="294"/>
      <c r="E1047" s="289" t="s">
        <v>14</v>
      </c>
      <c r="F1047" s="289"/>
      <c r="G1047" s="290">
        <f t="shared" si="232"/>
        <v>71</v>
      </c>
      <c r="H1047" s="290">
        <v>600</v>
      </c>
      <c r="I1047" s="290">
        <v>529</v>
      </c>
      <c r="J1047" s="290" t="s">
        <v>15</v>
      </c>
      <c r="K1047" s="289"/>
      <c r="L1047" s="290"/>
      <c r="M1047" s="291"/>
      <c r="N1047" s="295" t="s">
        <v>29</v>
      </c>
    </row>
    <row r="1048" spans="1:14" x14ac:dyDescent="0.2">
      <c r="C1048" s="11"/>
      <c r="E1048" s="58"/>
      <c r="F1048" s="58"/>
      <c r="G1048" s="4"/>
      <c r="H1048" s="4"/>
      <c r="I1048" s="4"/>
      <c r="J1048" s="4"/>
      <c r="K1048" s="58"/>
      <c r="L1048" s="4"/>
    </row>
    <row r="1049" spans="1:14" x14ac:dyDescent="0.2">
      <c r="A1049" s="332" t="s">
        <v>1233</v>
      </c>
      <c r="B1049" s="333"/>
      <c r="C1049" s="333"/>
      <c r="D1049" s="334"/>
      <c r="E1049" s="58"/>
      <c r="F1049" s="58"/>
      <c r="G1049" s="4"/>
      <c r="H1049" s="4"/>
      <c r="I1049" s="4"/>
      <c r="J1049" s="4"/>
      <c r="K1049" s="58"/>
      <c r="L1049" s="4"/>
    </row>
    <row r="1050" spans="1:14" x14ac:dyDescent="0.2">
      <c r="A1050" s="327" t="s">
        <v>1234</v>
      </c>
      <c r="B1050" s="328"/>
      <c r="C1050" s="328"/>
      <c r="D1050" s="329"/>
      <c r="E1050" s="58"/>
      <c r="F1050" s="58"/>
      <c r="G1050" s="4"/>
      <c r="H1050" s="4"/>
      <c r="I1050" s="4"/>
      <c r="J1050" s="4"/>
      <c r="K1050" s="58"/>
      <c r="L1050" s="4"/>
    </row>
    <row r="1051" spans="1:14" x14ac:dyDescent="0.2">
      <c r="A1051" s="327" t="s">
        <v>1235</v>
      </c>
      <c r="B1051" s="328"/>
      <c r="C1051" s="328"/>
      <c r="D1051" s="329"/>
      <c r="E1051" s="58"/>
      <c r="F1051" s="58"/>
      <c r="G1051" s="4"/>
      <c r="H1051" s="4"/>
      <c r="I1051" s="4"/>
      <c r="J1051" s="4"/>
      <c r="K1051" s="58"/>
      <c r="L1051" s="4"/>
    </row>
    <row r="1052" spans="1:14" x14ac:dyDescent="0.2">
      <c r="A1052" s="327" t="s">
        <v>1236</v>
      </c>
      <c r="B1052" s="328"/>
      <c r="C1052" s="328"/>
      <c r="D1052" s="329"/>
      <c r="E1052" s="58"/>
      <c r="F1052" s="58"/>
      <c r="G1052" s="4"/>
      <c r="H1052" s="4"/>
      <c r="I1052" s="4"/>
      <c r="J1052" s="4"/>
      <c r="K1052" s="58"/>
      <c r="L1052" s="4"/>
    </row>
    <row r="1053" spans="1:14" x14ac:dyDescent="0.2">
      <c r="A1053" s="327" t="s">
        <v>1237</v>
      </c>
      <c r="B1053" s="328"/>
      <c r="C1053" s="328"/>
      <c r="D1053" s="329"/>
      <c r="E1053" s="58"/>
      <c r="F1053" s="58"/>
      <c r="G1053" s="4"/>
      <c r="H1053" s="4"/>
      <c r="I1053" s="4"/>
      <c r="J1053" s="4"/>
      <c r="K1053" s="58"/>
      <c r="L1053" s="4"/>
    </row>
    <row r="1054" spans="1:14" x14ac:dyDescent="0.2">
      <c r="A1054" s="213"/>
      <c r="B1054" s="214"/>
      <c r="C1054" s="214"/>
      <c r="D1054" s="215"/>
      <c r="E1054" s="58"/>
      <c r="F1054" s="58"/>
      <c r="G1054" s="4"/>
      <c r="H1054" s="4"/>
      <c r="I1054" s="4"/>
      <c r="J1054" s="4"/>
      <c r="K1054" s="58"/>
      <c r="L1054" s="4"/>
    </row>
  </sheetData>
  <mergeCells count="79">
    <mergeCell ref="A1034:N1034"/>
    <mergeCell ref="A942:N942"/>
    <mergeCell ref="A1051:D1051"/>
    <mergeCell ref="A824:N824"/>
    <mergeCell ref="A830:N830"/>
    <mergeCell ref="A841:N841"/>
    <mergeCell ref="A846:N846"/>
    <mergeCell ref="A851:N851"/>
    <mergeCell ref="A855:N855"/>
    <mergeCell ref="A860:N860"/>
    <mergeCell ref="A866:N866"/>
    <mergeCell ref="A873:N873"/>
    <mergeCell ref="A878:N878"/>
    <mergeCell ref="A884:N884"/>
    <mergeCell ref="A1052:D1052"/>
    <mergeCell ref="A1053:D1053"/>
    <mergeCell ref="A1:L1"/>
    <mergeCell ref="A1039:D1039"/>
    <mergeCell ref="A1049:D1049"/>
    <mergeCell ref="A1050:D1050"/>
    <mergeCell ref="A3:N3"/>
    <mergeCell ref="A6:N6"/>
    <mergeCell ref="A15:N15"/>
    <mergeCell ref="N179:N180"/>
    <mergeCell ref="G559:N559"/>
    <mergeCell ref="C14:D14"/>
    <mergeCell ref="A46:N46"/>
    <mergeCell ref="A83:N83"/>
    <mergeCell ref="A89:N89"/>
    <mergeCell ref="A111:N111"/>
    <mergeCell ref="A133:N133"/>
    <mergeCell ref="A153:N153"/>
    <mergeCell ref="A173:N173"/>
    <mergeCell ref="A177:N177"/>
    <mergeCell ref="A182:N182"/>
    <mergeCell ref="A221:N221"/>
    <mergeCell ref="A239:N239"/>
    <mergeCell ref="A250:N250"/>
    <mergeCell ref="A280:N280"/>
    <mergeCell ref="A290:N290"/>
    <mergeCell ref="A356:N356"/>
    <mergeCell ref="A372:N372"/>
    <mergeCell ref="A380:N380"/>
    <mergeCell ref="A390:N390"/>
    <mergeCell ref="A477:N477"/>
    <mergeCell ref="A501:N501"/>
    <mergeCell ref="A511:N511"/>
    <mergeCell ref="A543:N543"/>
    <mergeCell ref="A400:N400"/>
    <mergeCell ref="A410:N410"/>
    <mergeCell ref="A420:N420"/>
    <mergeCell ref="A440:N440"/>
    <mergeCell ref="A445:N445"/>
    <mergeCell ref="A548:N548"/>
    <mergeCell ref="A555:N555"/>
    <mergeCell ref="A562:N562"/>
    <mergeCell ref="A575:N575"/>
    <mergeCell ref="A749:N749"/>
    <mergeCell ref="A721:N721"/>
    <mergeCell ref="A693:N693"/>
    <mergeCell ref="A663:N663"/>
    <mergeCell ref="A653:N653"/>
    <mergeCell ref="A602:N602"/>
    <mergeCell ref="A590:N590"/>
    <mergeCell ref="A584:N584"/>
    <mergeCell ref="A764:N764"/>
    <mergeCell ref="A774:N774"/>
    <mergeCell ref="A785:N785"/>
    <mergeCell ref="A794:N794"/>
    <mergeCell ref="A805:N805"/>
    <mergeCell ref="A995:N995"/>
    <mergeCell ref="A1004:N1004"/>
    <mergeCell ref="A1015:N1015"/>
    <mergeCell ref="A1019:N1019"/>
    <mergeCell ref="A904:N904"/>
    <mergeCell ref="A947:N947"/>
    <mergeCell ref="A974:N974"/>
    <mergeCell ref="A987:N987"/>
    <mergeCell ref="A991:N991"/>
  </mergeCells>
  <phoneticPr fontId="47" type="noConversion"/>
  <conditionalFormatting sqref="A192">
    <cfRule type="expression" dxfId="234" priority="435" stopIfTrue="1">
      <formula>AND(E192="s",G192="n")</formula>
    </cfRule>
  </conditionalFormatting>
  <conditionalFormatting sqref="D69:D80 D82">
    <cfRule type="expression" dxfId="233" priority="111" stopIfTrue="1">
      <formula>AND(I69="s",J69="n")</formula>
    </cfRule>
  </conditionalFormatting>
  <conditionalFormatting sqref="D81">
    <cfRule type="expression" dxfId="232" priority="2" stopIfTrue="1">
      <formula>AND(H81="s",I81="n")</formula>
    </cfRule>
    <cfRule type="expression" dxfId="231" priority="3" stopIfTrue="1">
      <formula>AND(#REF!="s",#REF!="n")</formula>
    </cfRule>
  </conditionalFormatting>
  <conditionalFormatting sqref="D85">
    <cfRule type="expression" dxfId="230" priority="110" stopIfTrue="1">
      <formula>AND(I85="s",J85="n")</formula>
    </cfRule>
  </conditionalFormatting>
  <conditionalFormatting sqref="D87">
    <cfRule type="expression" dxfId="229" priority="109" stopIfTrue="1">
      <formula>AND(I87="s",J87="n")</formula>
    </cfRule>
  </conditionalFormatting>
  <conditionalFormatting sqref="D132">
    <cfRule type="expression" dxfId="228" priority="108" stopIfTrue="1">
      <formula>AND(I132="s",J132="n")</formula>
    </cfRule>
  </conditionalFormatting>
  <conditionalFormatting sqref="D152">
    <cfRule type="expression" dxfId="227" priority="107" stopIfTrue="1">
      <formula>AND(I152="s",J152="n")</formula>
    </cfRule>
  </conditionalFormatting>
  <conditionalFormatting sqref="D155:D171">
    <cfRule type="expression" dxfId="226" priority="172" stopIfTrue="1">
      <formula>AND(H155="s",I155="n")</formula>
    </cfRule>
  </conditionalFormatting>
  <conditionalFormatting sqref="D172">
    <cfRule type="expression" dxfId="225" priority="106" stopIfTrue="1">
      <formula>AND(I172="s",J172="n")</formula>
    </cfRule>
  </conditionalFormatting>
  <conditionalFormatting sqref="D175">
    <cfRule type="expression" dxfId="224" priority="225" stopIfTrue="1">
      <formula>AND(H175="s",I175="n")</formula>
    </cfRule>
  </conditionalFormatting>
  <conditionalFormatting sqref="D176">
    <cfRule type="expression" dxfId="223" priority="105" stopIfTrue="1">
      <formula>AND(I176="s",J176="n")</formula>
    </cfRule>
  </conditionalFormatting>
  <conditionalFormatting sqref="D181">
    <cfRule type="expression" dxfId="222" priority="104" stopIfTrue="1">
      <formula>AND(I181="s",J181="n")</formula>
    </cfRule>
  </conditionalFormatting>
  <conditionalFormatting sqref="D186:D203">
    <cfRule type="expression" dxfId="221" priority="368" stopIfTrue="1">
      <formula>AND(H186="s",I186="n")</formula>
    </cfRule>
  </conditionalFormatting>
  <conditionalFormatting sqref="D204">
    <cfRule type="expression" dxfId="220" priority="416" stopIfTrue="1">
      <formula>AND(#REF!="s",I204="n")</formula>
    </cfRule>
  </conditionalFormatting>
  <conditionalFormatting sqref="D205:D219 D135:D151">
    <cfRule type="expression" dxfId="219" priority="376" stopIfTrue="1">
      <formula>AND(H135="s",I135="n")</formula>
    </cfRule>
  </conditionalFormatting>
  <conditionalFormatting sqref="D219">
    <cfRule type="expression" dxfId="218" priority="15" stopIfTrue="1">
      <formula>AND(#REF!="s",#REF!="n")</formula>
    </cfRule>
  </conditionalFormatting>
  <conditionalFormatting sqref="D220">
    <cfRule type="expression" dxfId="217" priority="103" stopIfTrue="1">
      <formula>AND(I220="s",J220="n")</formula>
    </cfRule>
  </conditionalFormatting>
  <conditionalFormatting sqref="D238">
    <cfRule type="expression" dxfId="216" priority="102" stopIfTrue="1">
      <formula>AND(I238="s",J238="n")</formula>
    </cfRule>
  </conditionalFormatting>
  <conditionalFormatting sqref="D241:D248">
    <cfRule type="expression" dxfId="215" priority="171" stopIfTrue="1">
      <formula>AND(H241="s",I241="n")</formula>
    </cfRule>
  </conditionalFormatting>
  <conditionalFormatting sqref="D249">
    <cfRule type="expression" dxfId="214" priority="101" stopIfTrue="1">
      <formula>AND(I249="s",J249="n")</formula>
    </cfRule>
  </conditionalFormatting>
  <conditionalFormatting sqref="D252">
    <cfRule type="expression" dxfId="213" priority="359" stopIfTrue="1">
      <formula>AND(H252="s",I252="n")</formula>
    </cfRule>
  </conditionalFormatting>
  <conditionalFormatting sqref="D253 D258 D263 D268 D283 D293 D298 D423 D443 D448 D751">
    <cfRule type="expression" dxfId="212" priority="393" stopIfTrue="1">
      <formula>AND(#REF!="s",#REF!="n")</formula>
    </cfRule>
  </conditionalFormatting>
  <conditionalFormatting sqref="D279">
    <cfRule type="expression" dxfId="211" priority="100" stopIfTrue="1">
      <formula>AND(I279="s",J279="n")</formula>
    </cfRule>
  </conditionalFormatting>
  <conditionalFormatting sqref="D282">
    <cfRule type="expression" dxfId="210" priority="357" stopIfTrue="1">
      <formula>AND(H282="s",I282="n")</formula>
    </cfRule>
  </conditionalFormatting>
  <conditionalFormatting sqref="D289">
    <cfRule type="expression" dxfId="209" priority="99" stopIfTrue="1">
      <formula>AND(I289="s",J289="n")</formula>
    </cfRule>
  </conditionalFormatting>
  <conditionalFormatting sqref="D294:D297">
    <cfRule type="expression" dxfId="208" priority="354" stopIfTrue="1">
      <formula>AND(H294="s",I294="n")</formula>
    </cfRule>
  </conditionalFormatting>
  <conditionalFormatting sqref="D307">
    <cfRule type="expression" dxfId="207" priority="98" stopIfTrue="1">
      <formula>AND(I307="s",J307="n")</formula>
    </cfRule>
  </conditionalFormatting>
  <conditionalFormatting sqref="D311:D313">
    <cfRule type="expression" dxfId="206" priority="352" stopIfTrue="1">
      <formula>AND(H311="s",I311="n")</formula>
    </cfRule>
  </conditionalFormatting>
  <conditionalFormatting sqref="D320:D332">
    <cfRule type="expression" dxfId="205" priority="217" stopIfTrue="1">
      <formula>AND(H320="s",I320="n")</formula>
    </cfRule>
  </conditionalFormatting>
  <conditionalFormatting sqref="D334:D354">
    <cfRule type="expression" dxfId="204" priority="184" stopIfTrue="1">
      <formula>AND(H334="s",I334="n")</formula>
    </cfRule>
  </conditionalFormatting>
  <conditionalFormatting sqref="D355">
    <cfRule type="expression" dxfId="203" priority="97" stopIfTrue="1">
      <formula>AND(I355="s",J355="n")</formula>
    </cfRule>
  </conditionalFormatting>
  <conditionalFormatting sqref="D358:D370">
    <cfRule type="expression" dxfId="202" priority="348" stopIfTrue="1">
      <formula>AND(H358="s",I358="n")</formula>
    </cfRule>
  </conditionalFormatting>
  <conditionalFormatting sqref="D371">
    <cfRule type="expression" dxfId="201" priority="96" stopIfTrue="1">
      <formula>AND(I371="s",J371="n")</formula>
    </cfRule>
  </conditionalFormatting>
  <conditionalFormatting sqref="D374:D378">
    <cfRule type="expression" dxfId="200" priority="346" stopIfTrue="1">
      <formula>AND(H374="s",I374="n")</formula>
    </cfRule>
  </conditionalFormatting>
  <conditionalFormatting sqref="D379">
    <cfRule type="expression" dxfId="199" priority="95" stopIfTrue="1">
      <formula>AND(I379="s",J379="n")</formula>
    </cfRule>
  </conditionalFormatting>
  <conditionalFormatting sqref="D389">
    <cfRule type="expression" dxfId="198" priority="94" stopIfTrue="1">
      <formula>AND(I389="s",J389="n")</formula>
    </cfRule>
  </conditionalFormatting>
  <conditionalFormatting sqref="D392:D398">
    <cfRule type="expression" dxfId="197" priority="344" stopIfTrue="1">
      <formula>AND(H392="s",I392="n")</formula>
    </cfRule>
  </conditionalFormatting>
  <conditionalFormatting sqref="D399">
    <cfRule type="expression" dxfId="196" priority="93" stopIfTrue="1">
      <formula>AND(I399="s",J399="n")</formula>
    </cfRule>
  </conditionalFormatting>
  <conditionalFormatting sqref="D402:D408">
    <cfRule type="expression" dxfId="195" priority="342" stopIfTrue="1">
      <formula>AND(H402="s",I402="n")</formula>
    </cfRule>
  </conditionalFormatting>
  <conditionalFormatting sqref="D409">
    <cfRule type="expression" dxfId="194" priority="92" stopIfTrue="1">
      <formula>AND(I409="s",J409="n")</formula>
    </cfRule>
  </conditionalFormatting>
  <conditionalFormatting sqref="D412:D418">
    <cfRule type="expression" dxfId="193" priority="152" stopIfTrue="1">
      <formula>AND(H412="s",I412="n")</formula>
    </cfRule>
  </conditionalFormatting>
  <conditionalFormatting sqref="D419">
    <cfRule type="expression" dxfId="192" priority="91" stopIfTrue="1">
      <formula>AND(I419="s",J419="n")</formula>
    </cfRule>
  </conditionalFormatting>
  <conditionalFormatting sqref="D422">
    <cfRule type="expression" dxfId="191" priority="340" stopIfTrue="1">
      <formula>AND(H422="s",I422="n")</formula>
    </cfRule>
  </conditionalFormatting>
  <conditionalFormatting sqref="D439">
    <cfRule type="expression" dxfId="190" priority="90" stopIfTrue="1">
      <formula>AND(I439="s",J439="n")</formula>
    </cfRule>
  </conditionalFormatting>
  <conditionalFormatting sqref="D442">
    <cfRule type="expression" dxfId="189" priority="320" stopIfTrue="1">
      <formula>AND(H442="s",I442="n")</formula>
    </cfRule>
  </conditionalFormatting>
  <conditionalFormatting sqref="D444">
    <cfRule type="expression" dxfId="188" priority="89" stopIfTrue="1">
      <formula>AND(I444="s",J444="n")</formula>
    </cfRule>
  </conditionalFormatting>
  <conditionalFormatting sqref="D447">
    <cfRule type="expression" dxfId="187" priority="338" stopIfTrue="1">
      <formula>AND(H447="s",I447="n")</formula>
    </cfRule>
  </conditionalFormatting>
  <conditionalFormatting sqref="D476">
    <cfRule type="expression" dxfId="186" priority="88" stopIfTrue="1">
      <formula>AND(I476="s",J476="n")</formula>
    </cfRule>
  </conditionalFormatting>
  <conditionalFormatting sqref="D480:D482">
    <cfRule type="expression" dxfId="185" priority="253" stopIfTrue="1">
      <formula>AND(H480="s",I480="n")</formula>
    </cfRule>
  </conditionalFormatting>
  <conditionalFormatting sqref="D489:D499 D502:D509 D512:D541">
    <cfRule type="expression" dxfId="184" priority="151" stopIfTrue="1">
      <formula>AND(H489="s",I489="n")</formula>
    </cfRule>
  </conditionalFormatting>
  <conditionalFormatting sqref="D500">
    <cfRule type="expression" dxfId="183" priority="87" stopIfTrue="1">
      <formula>AND(I500="s",J500="n")</formula>
    </cfRule>
  </conditionalFormatting>
  <conditionalFormatting sqref="D510">
    <cfRule type="expression" dxfId="182" priority="86" stopIfTrue="1">
      <formula>AND(I510="s",J510="n")</formula>
    </cfRule>
  </conditionalFormatting>
  <conditionalFormatting sqref="D542">
    <cfRule type="expression" dxfId="181" priority="85" stopIfTrue="1">
      <formula>AND(I542="s",J542="n")</formula>
    </cfRule>
  </conditionalFormatting>
  <conditionalFormatting sqref="D547">
    <cfRule type="expression" dxfId="180" priority="84" stopIfTrue="1">
      <formula>AND(I547="s",J547="n")</formula>
    </cfRule>
  </conditionalFormatting>
  <conditionalFormatting sqref="D554">
    <cfRule type="expression" dxfId="179" priority="83" stopIfTrue="1">
      <formula>AND(I554="s",J554="n")</formula>
    </cfRule>
  </conditionalFormatting>
  <conditionalFormatting sqref="D556 D544 D549">
    <cfRule type="expression" dxfId="178" priority="421" stopIfTrue="1">
      <formula>AND(#REF!="s",#REF!="n")</formula>
    </cfRule>
  </conditionalFormatting>
  <conditionalFormatting sqref="D561">
    <cfRule type="expression" dxfId="177" priority="82" stopIfTrue="1">
      <formula>AND(I561="s",J561="n")</formula>
    </cfRule>
  </conditionalFormatting>
  <conditionalFormatting sqref="D563">
    <cfRule type="expression" dxfId="176" priority="183" stopIfTrue="1">
      <formula>AND(#REF!="s",#REF!="n")</formula>
    </cfRule>
  </conditionalFormatting>
  <conditionalFormatting sqref="D563:D573 D576:D582">
    <cfRule type="expression" dxfId="175" priority="178" stopIfTrue="1">
      <formula>AND(H563="s",I563="n")</formula>
    </cfRule>
  </conditionalFormatting>
  <conditionalFormatting sqref="D574">
    <cfRule type="expression" dxfId="174" priority="81" stopIfTrue="1">
      <formula>AND(I574="s",J574="n")</formula>
    </cfRule>
  </conditionalFormatting>
  <conditionalFormatting sqref="D576">
    <cfRule type="expression" dxfId="173" priority="180" stopIfTrue="1">
      <formula>AND(#REF!="s",#REF!="n")</formula>
    </cfRule>
  </conditionalFormatting>
  <conditionalFormatting sqref="D583">
    <cfRule type="expression" dxfId="172" priority="80" stopIfTrue="1">
      <formula>AND(I583="s",J583="n")</formula>
    </cfRule>
  </conditionalFormatting>
  <conditionalFormatting sqref="D585">
    <cfRule type="expression" dxfId="171" priority="27" stopIfTrue="1">
      <formula>AND(#REF!="s",#REF!="n")</formula>
    </cfRule>
  </conditionalFormatting>
  <conditionalFormatting sqref="D585:D586">
    <cfRule type="expression" dxfId="170" priority="26" stopIfTrue="1">
      <formula>AND(H585="s",I585="n")</formula>
    </cfRule>
  </conditionalFormatting>
  <conditionalFormatting sqref="D589">
    <cfRule type="expression" dxfId="169" priority="12" stopIfTrue="1">
      <formula>AND(I589="s",J589="n")</formula>
    </cfRule>
  </conditionalFormatting>
  <conditionalFormatting sqref="D591">
    <cfRule type="expression" dxfId="168" priority="30" stopIfTrue="1">
      <formula>AND(#REF!="s",#REF!="n")</formula>
    </cfRule>
  </conditionalFormatting>
  <conditionalFormatting sqref="D591:D592">
    <cfRule type="expression" dxfId="167" priority="29" stopIfTrue="1">
      <formula>AND(H591="s",I591="n")</formula>
    </cfRule>
  </conditionalFormatting>
  <conditionalFormatting sqref="D601">
    <cfRule type="expression" dxfId="166" priority="78" stopIfTrue="1">
      <formula>AND(I601="s",J601="n")</formula>
    </cfRule>
  </conditionalFormatting>
  <conditionalFormatting sqref="D603">
    <cfRule type="expression" dxfId="165" priority="33" stopIfTrue="1">
      <formula>AND(#REF!="s",#REF!="n")</formula>
    </cfRule>
  </conditionalFormatting>
  <conditionalFormatting sqref="D603:D651 D114:D131 C192:F192 H192:K192 D223:D237 D254:D257 D259:D262 D264:D267 D269:D274 D284:D288 D292 D299:D306 D316:D317 D332:F333 H332:H354 D382:D388 D424:D427 D449:D475 D485:D487 D545:D546 D550:D553 D556:D560 D752:D762 D787:D792 D796:D801 D807:D813 D819:D822 D826:D828 D853 D857:D858 D862:D864 D868:D871 D875:D876 D880:D882 D989:D990">
    <cfRule type="expression" dxfId="164" priority="201" stopIfTrue="1">
      <formula>AND(G114="s",H114="n")</formula>
    </cfRule>
  </conditionalFormatting>
  <conditionalFormatting sqref="D652">
    <cfRule type="expression" dxfId="163" priority="77" stopIfTrue="1">
      <formula>AND(I652="s",J652="n")</formula>
    </cfRule>
  </conditionalFormatting>
  <conditionalFormatting sqref="D654">
    <cfRule type="expression" dxfId="162" priority="36" stopIfTrue="1">
      <formula>AND(#REF!="s",#REF!="n")</formula>
    </cfRule>
  </conditionalFormatting>
  <conditionalFormatting sqref="D654:D655">
    <cfRule type="expression" dxfId="161" priority="35" stopIfTrue="1">
      <formula>AND(H654="s",I654="n")</formula>
    </cfRule>
  </conditionalFormatting>
  <conditionalFormatting sqref="D662">
    <cfRule type="expression" dxfId="160" priority="76" stopIfTrue="1">
      <formula>AND(I662="s",J662="n")</formula>
    </cfRule>
  </conditionalFormatting>
  <conditionalFormatting sqref="D664">
    <cfRule type="expression" dxfId="159" priority="39" stopIfTrue="1">
      <formula>AND(#REF!="s",#REF!="n")</formula>
    </cfRule>
  </conditionalFormatting>
  <conditionalFormatting sqref="D664:D665">
    <cfRule type="expression" dxfId="158" priority="38" stopIfTrue="1">
      <formula>AND(H664="s",I664="n")</formula>
    </cfRule>
  </conditionalFormatting>
  <conditionalFormatting sqref="D692">
    <cfRule type="expression" dxfId="157" priority="75" stopIfTrue="1">
      <formula>AND(I692="s",J692="n")</formula>
    </cfRule>
  </conditionalFormatting>
  <conditionalFormatting sqref="D694:D719">
    <cfRule type="expression" dxfId="156" priority="119" stopIfTrue="1">
      <formula>AND(H694="s",I694="n")</formula>
    </cfRule>
    <cfRule type="expression" dxfId="155" priority="120" stopIfTrue="1">
      <formula>AND(#REF!="s",#REF!="n")</formula>
    </cfRule>
  </conditionalFormatting>
  <conditionalFormatting sqref="D720">
    <cfRule type="expression" dxfId="154" priority="74" stopIfTrue="1">
      <formula>AND(I720="s",J720="n")</formula>
    </cfRule>
  </conditionalFormatting>
  <conditionalFormatting sqref="D723:D747">
    <cfRule type="expression" dxfId="153" priority="186" stopIfTrue="1">
      <formula>AND(H723="s",I723="n")</formula>
    </cfRule>
  </conditionalFormatting>
  <conditionalFormatting sqref="D748">
    <cfRule type="expression" dxfId="152" priority="73" stopIfTrue="1">
      <formula>AND(I748="s",J748="n")</formula>
    </cfRule>
  </conditionalFormatting>
  <conditionalFormatting sqref="D763">
    <cfRule type="expression" dxfId="151" priority="72" stopIfTrue="1">
      <formula>AND(I763="s",J763="n")</formula>
    </cfRule>
  </conditionalFormatting>
  <conditionalFormatting sqref="D766">
    <cfRule type="expression" dxfId="150" priority="392" stopIfTrue="1">
      <formula>AND(#REF!="s",#REF!="n")</formula>
    </cfRule>
  </conditionalFormatting>
  <conditionalFormatting sqref="D767:D772">
    <cfRule type="expression" dxfId="149" priority="334" stopIfTrue="1">
      <formula>AND(H767="s",I767="n")</formula>
    </cfRule>
  </conditionalFormatting>
  <conditionalFormatting sqref="D773">
    <cfRule type="expression" dxfId="148" priority="71" stopIfTrue="1">
      <formula>AND(I773="s",J773="n")</formula>
    </cfRule>
  </conditionalFormatting>
  <conditionalFormatting sqref="D776:D783">
    <cfRule type="expression" dxfId="147" priority="332" stopIfTrue="1">
      <formula>AND(H776="s",I776="n")</formula>
    </cfRule>
  </conditionalFormatting>
  <conditionalFormatting sqref="D784">
    <cfRule type="expression" dxfId="146" priority="70" stopIfTrue="1">
      <formula>AND(I784="s",J784="n")</formula>
    </cfRule>
  </conditionalFormatting>
  <conditionalFormatting sqref="D793">
    <cfRule type="expression" dxfId="145" priority="69" stopIfTrue="1">
      <formula>AND(I793="s",J793="n")</formula>
    </cfRule>
  </conditionalFormatting>
  <conditionalFormatting sqref="D804">
    <cfRule type="expression" dxfId="144" priority="68" stopIfTrue="1">
      <formula>AND(I804="s",J804="n")</formula>
    </cfRule>
  </conditionalFormatting>
  <conditionalFormatting sqref="D814">
    <cfRule type="expression" dxfId="143" priority="67" stopIfTrue="1">
      <formula>AND(I814="s",J814="n")</formula>
    </cfRule>
  </conditionalFormatting>
  <conditionalFormatting sqref="D823">
    <cfRule type="expression" dxfId="142" priority="66" stopIfTrue="1">
      <formula>AND(I823="s",J823="n")</formula>
    </cfRule>
  </conditionalFormatting>
  <conditionalFormatting sqref="D829">
    <cfRule type="expression" dxfId="141" priority="65" stopIfTrue="1">
      <formula>AND(I829="s",J829="n")</formula>
    </cfRule>
  </conditionalFormatting>
  <conditionalFormatting sqref="D840">
    <cfRule type="expression" dxfId="140" priority="48" stopIfTrue="1">
      <formula>AND(I840="s",J840="n")</formula>
    </cfRule>
  </conditionalFormatting>
  <conditionalFormatting sqref="D845">
    <cfRule type="expression" dxfId="139" priority="64" stopIfTrue="1">
      <formula>AND(I845="s",J845="n")</formula>
    </cfRule>
  </conditionalFormatting>
  <conditionalFormatting sqref="D849">
    <cfRule type="expression" dxfId="138" priority="330" stopIfTrue="1">
      <formula>AND(H849="s",I849="n")</formula>
    </cfRule>
  </conditionalFormatting>
  <conditionalFormatting sqref="D850">
    <cfRule type="expression" dxfId="137" priority="63" stopIfTrue="1">
      <formula>AND(I850="s",J850="n")</formula>
    </cfRule>
  </conditionalFormatting>
  <conditionalFormatting sqref="D854">
    <cfRule type="expression" dxfId="136" priority="62" stopIfTrue="1">
      <formula>AND(I854="s",J854="n")</formula>
    </cfRule>
  </conditionalFormatting>
  <conditionalFormatting sqref="D859">
    <cfRule type="expression" dxfId="135" priority="61" stopIfTrue="1">
      <formula>AND(I859="s",J859="n")</formula>
    </cfRule>
  </conditionalFormatting>
  <conditionalFormatting sqref="D865">
    <cfRule type="expression" dxfId="134" priority="60" stopIfTrue="1">
      <formula>AND(I865="s",J865="n")</formula>
    </cfRule>
  </conditionalFormatting>
  <conditionalFormatting sqref="D872">
    <cfRule type="expression" dxfId="133" priority="59" stopIfTrue="1">
      <formula>AND(I872="s",J872="n")</formula>
    </cfRule>
  </conditionalFormatting>
  <conditionalFormatting sqref="D877">
    <cfRule type="expression" dxfId="132" priority="58" stopIfTrue="1">
      <formula>AND(I877="s",J877="n")</formula>
    </cfRule>
  </conditionalFormatting>
  <conditionalFormatting sqref="D883">
    <cfRule type="expression" dxfId="131" priority="57" stopIfTrue="1">
      <formula>AND(I883="s",J883="n")</formula>
    </cfRule>
  </conditionalFormatting>
  <conditionalFormatting sqref="D886:D888">
    <cfRule type="expression" dxfId="130" priority="329" stopIfTrue="1">
      <formula>AND(I886="s",J886="n")</formula>
    </cfRule>
  </conditionalFormatting>
  <conditionalFormatting sqref="D889:D902">
    <cfRule type="expression" dxfId="129" priority="328" stopIfTrue="1">
      <formula>AND(H889="s",I889="n")</formula>
    </cfRule>
  </conditionalFormatting>
  <conditionalFormatting sqref="D903">
    <cfRule type="expression" dxfId="128" priority="56" stopIfTrue="1">
      <formula>AND(I903="s",J903="n")</formula>
    </cfRule>
  </conditionalFormatting>
  <conditionalFormatting sqref="D941">
    <cfRule type="expression" dxfId="127" priority="55" stopIfTrue="1">
      <formula>AND(I941="s",J941="n")</formula>
    </cfRule>
  </conditionalFormatting>
  <conditionalFormatting sqref="D946">
    <cfRule type="expression" dxfId="126" priority="54" stopIfTrue="1">
      <formula>AND(I946="s",J946="n")</formula>
    </cfRule>
  </conditionalFormatting>
  <conditionalFormatting sqref="D949:D973">
    <cfRule type="expression" dxfId="125" priority="53" stopIfTrue="1">
      <formula>AND(I949="s",J949="n")</formula>
    </cfRule>
  </conditionalFormatting>
  <conditionalFormatting sqref="D976:D985">
    <cfRule type="expression" dxfId="124" priority="318" stopIfTrue="1">
      <formula>AND(H976="s",I976="n")</formula>
    </cfRule>
  </conditionalFormatting>
  <conditionalFormatting sqref="D977:D984">
    <cfRule type="expression" dxfId="123" priority="395" stopIfTrue="1">
      <formula>AND(I977="s",J977="n")</formula>
    </cfRule>
  </conditionalFormatting>
  <conditionalFormatting sqref="D986">
    <cfRule type="expression" dxfId="122" priority="52" stopIfTrue="1">
      <formula>AND(I986="s",J986="n")</formula>
    </cfRule>
  </conditionalFormatting>
  <conditionalFormatting sqref="D993">
    <cfRule type="expression" dxfId="121" priority="312" stopIfTrue="1">
      <formula>AND(H993="s",I993="n")</formula>
    </cfRule>
  </conditionalFormatting>
  <conditionalFormatting sqref="D993:D994 D18:D45 D48:D67 D91:D110 D113 B192 D906:D908 D997:D1003 D1017:D1018 D1021:D1023">
    <cfRule type="expression" dxfId="120" priority="381" stopIfTrue="1">
      <formula>AND(G18="s",H18="n")</formula>
    </cfRule>
  </conditionalFormatting>
  <conditionalFormatting sqref="D1010:D1014">
    <cfRule type="expression" dxfId="119" priority="51" stopIfTrue="1">
      <formula>AND(I1010="s",J1010="n")</formula>
    </cfRule>
  </conditionalFormatting>
  <conditionalFormatting sqref="D1033">
    <cfRule type="expression" dxfId="118" priority="50" stopIfTrue="1">
      <formula>AND(I1033="s",J1033="n")</formula>
    </cfRule>
  </conditionalFormatting>
  <conditionalFormatting sqref="D1047">
    <cfRule type="expression" dxfId="117" priority="49" stopIfTrue="1">
      <formula>AND(I1047="s",J1047="n")</formula>
    </cfRule>
  </conditionalFormatting>
  <conditionalFormatting sqref="E69:F81">
    <cfRule type="expression" dxfId="116" priority="1" stopIfTrue="1">
      <formula>AND(J69="s",L69="n")</formula>
    </cfRule>
  </conditionalFormatting>
  <conditionalFormatting sqref="E155:F171 E694:F719">
    <cfRule type="expression" dxfId="115" priority="371" stopIfTrue="1">
      <formula>AND(J155="s",L155="n")</formula>
    </cfRule>
  </conditionalFormatting>
  <conditionalFormatting sqref="E175:F175">
    <cfRule type="expression" dxfId="114" priority="226" stopIfTrue="1">
      <formula>AND(J175="s",L175="n")</formula>
    </cfRule>
  </conditionalFormatting>
  <conditionalFormatting sqref="E186:F194">
    <cfRule type="expression" dxfId="113" priority="369" stopIfTrue="1">
      <formula>AND(J186="s",L186="n")</formula>
    </cfRule>
  </conditionalFormatting>
  <conditionalFormatting sqref="E219:F219">
    <cfRule type="expression" dxfId="112" priority="13" stopIfTrue="1">
      <formula>AND(J219="s",L219="n")</formula>
    </cfRule>
  </conditionalFormatting>
  <conditionalFormatting sqref="E241:F248">
    <cfRule type="expression" dxfId="111" priority="170" stopIfTrue="1">
      <formula>AND(J241="s",L241="n")</formula>
    </cfRule>
  </conditionalFormatting>
  <conditionalFormatting sqref="E252:F274">
    <cfRule type="expression" dxfId="110" priority="360" stopIfTrue="1">
      <formula>AND(J252="s",L252="n")</formula>
    </cfRule>
  </conditionalFormatting>
  <conditionalFormatting sqref="E282:F288">
    <cfRule type="expression" dxfId="109" priority="358" stopIfTrue="1">
      <formula>AND(J282="s",L282="n")</formula>
    </cfRule>
  </conditionalFormatting>
  <conditionalFormatting sqref="E292:F306">
    <cfRule type="expression" dxfId="108" priority="355" stopIfTrue="1">
      <formula>AND(J292="s",L292="n")</formula>
    </cfRule>
  </conditionalFormatting>
  <conditionalFormatting sqref="E310:F313">
    <cfRule type="expression" dxfId="107" priority="353" stopIfTrue="1">
      <formula>AND(J310="s",L310="n")</formula>
    </cfRule>
  </conditionalFormatting>
  <conditionalFormatting sqref="E320:F335">
    <cfRule type="expression" dxfId="106" priority="218" stopIfTrue="1">
      <formula>AND(J320="s",L320="n")</formula>
    </cfRule>
  </conditionalFormatting>
  <conditionalFormatting sqref="E358:F370">
    <cfRule type="expression" dxfId="105" priority="349" stopIfTrue="1">
      <formula>AND(J358="s",L358="n")</formula>
    </cfRule>
  </conditionalFormatting>
  <conditionalFormatting sqref="E374:F376">
    <cfRule type="expression" dxfId="104" priority="347" stopIfTrue="1">
      <formula>AND(J374="s",L374="n")</formula>
    </cfRule>
  </conditionalFormatting>
  <conditionalFormatting sqref="E392:F393">
    <cfRule type="expression" dxfId="103" priority="345" stopIfTrue="1">
      <formula>AND(J392="s",L392="n")</formula>
    </cfRule>
  </conditionalFormatting>
  <conditionalFormatting sqref="E402:F404">
    <cfRule type="expression" dxfId="102" priority="343" stopIfTrue="1">
      <formula>AND(J402="s",L402="n")</formula>
    </cfRule>
  </conditionalFormatting>
  <conditionalFormatting sqref="E422:F427">
    <cfRule type="expression" dxfId="101" priority="341" stopIfTrue="1">
      <formula>AND(J422="s",L422="n")</formula>
    </cfRule>
  </conditionalFormatting>
  <conditionalFormatting sqref="E442:F443">
    <cfRule type="expression" dxfId="100" priority="321" stopIfTrue="1">
      <formula>AND(J442="s",L442="n")</formula>
    </cfRule>
  </conditionalFormatting>
  <conditionalFormatting sqref="E479:F482">
    <cfRule type="expression" dxfId="99" priority="254" stopIfTrue="1">
      <formula>AND(J479="s",L479="n")</formula>
    </cfRule>
  </conditionalFormatting>
  <conditionalFormatting sqref="E489:F499 E502:F509 E512:F541 E544:F546">
    <cfRule type="expression" dxfId="98" priority="175" stopIfTrue="1">
      <formula>AND(J489="s",L489="n")</formula>
    </cfRule>
  </conditionalFormatting>
  <conditionalFormatting sqref="E549:F553 E556:F560">
    <cfRule type="expression" dxfId="97" priority="231" stopIfTrue="1">
      <formula>AND(J549="s",L549="n")</formula>
    </cfRule>
  </conditionalFormatting>
  <conditionalFormatting sqref="E563:F573 E576:F582">
    <cfRule type="expression" dxfId="96" priority="176" stopIfTrue="1">
      <formula>AND(J563="s",L563="n")</formula>
    </cfRule>
  </conditionalFormatting>
  <conditionalFormatting sqref="E585:F585">
    <cfRule type="expression" dxfId="95" priority="25" stopIfTrue="1">
      <formula>AND(J585="s",L585="n")</formula>
    </cfRule>
  </conditionalFormatting>
  <conditionalFormatting sqref="E591:F591">
    <cfRule type="expression" dxfId="94" priority="28" stopIfTrue="1">
      <formula>AND(J591="s",L591="n")</formula>
    </cfRule>
  </conditionalFormatting>
  <conditionalFormatting sqref="E603:F603">
    <cfRule type="expression" dxfId="93" priority="31" stopIfTrue="1">
      <formula>AND(J603="s",L603="n")</formula>
    </cfRule>
  </conditionalFormatting>
  <conditionalFormatting sqref="E654:F654">
    <cfRule type="expression" dxfId="92" priority="34" stopIfTrue="1">
      <formula>AND(J654="s",L654="n")</formula>
    </cfRule>
  </conditionalFormatting>
  <conditionalFormatting sqref="E664:F664">
    <cfRule type="expression" dxfId="91" priority="37" stopIfTrue="1">
      <formula>AND(J664="s",L664="n")</formula>
    </cfRule>
  </conditionalFormatting>
  <conditionalFormatting sqref="E723:F736">
    <cfRule type="expression" dxfId="90" priority="337" stopIfTrue="1">
      <formula>AND(J723="s",L723="n")</formula>
    </cfRule>
  </conditionalFormatting>
  <conditionalFormatting sqref="E766:F772">
    <cfRule type="expression" dxfId="89" priority="335" stopIfTrue="1">
      <formula>AND(J766="s",L766="n")</formula>
    </cfRule>
  </conditionalFormatting>
  <conditionalFormatting sqref="E776:F783">
    <cfRule type="expression" dxfId="88" priority="333" stopIfTrue="1">
      <formula>AND(J776="s",L776="n")</formula>
    </cfRule>
  </conditionalFormatting>
  <conditionalFormatting sqref="E849:F849">
    <cfRule type="expression" dxfId="87" priority="331" stopIfTrue="1">
      <formula>AND(J849="s",L849="n")</formula>
    </cfRule>
  </conditionalFormatting>
  <conditionalFormatting sqref="E1006:F1013">
    <cfRule type="expression" dxfId="86" priority="289" stopIfTrue="1">
      <formula>AND(J1006="s",L1006="n")</formula>
    </cfRule>
  </conditionalFormatting>
  <conditionalFormatting sqref="F48:F66 E48:E67 E91:F110 E113:F131 E135:F151 E223:F237 E316:F317 E382:F384 E412:F413 E447:F475 E485:F487 E751:F762 E787:F792 E796:F801 E807:F813 E819:F822 E826:F828 E853:F853 E857:F858 E862:F864 E868:F871 E875:F876 E880:F882 E989:F990 E993:F993 E997:F1002 E1017:F1017 E1021:F1023">
    <cfRule type="expression" dxfId="85" priority="377" stopIfTrue="1">
      <formula>AND(J48="s",L48="n")</formula>
    </cfRule>
  </conditionalFormatting>
  <conditionalFormatting sqref="F67">
    <cfRule type="expression" dxfId="84" priority="437" stopIfTrue="1">
      <formula>AND(K68="s",M67="n")</formula>
    </cfRule>
  </conditionalFormatting>
  <conditionalFormatting sqref="F68">
    <cfRule type="expression" dxfId="83" priority="438" stopIfTrue="1">
      <formula>AND(#REF!="s",M68="n")</formula>
    </cfRule>
  </conditionalFormatting>
  <conditionalFormatting sqref="G192 G332:G354">
    <cfRule type="expression" dxfId="82" priority="427" stopIfTrue="1">
      <formula>AND(J192="s",L192="n")</formula>
    </cfRule>
  </conditionalFormatting>
  <conditionalFormatting sqref="L192:N192">
    <cfRule type="expression" dxfId="81" priority="380" stopIfTrue="1">
      <formula>AND(O192="s",P192="n")</formula>
    </cfRule>
  </conditionalFormatting>
  <conditionalFormatting sqref="M333">
    <cfRule type="expression" dxfId="80" priority="214" stopIfTrue="1">
      <formula>AND(P333="s",Q333="n")</formula>
    </cfRule>
  </conditionalFormatting>
  <conditionalFormatting sqref="M332:N332">
    <cfRule type="expression" dxfId="79" priority="216" stopIfTrue="1">
      <formula>AND(P332="s",Q332="n")</formula>
    </cfRule>
  </conditionalFormatting>
  <conditionalFormatting sqref="N333:N335">
    <cfRule type="expression" dxfId="78" priority="203" stopIfTrue="1">
      <formula>AND(Q333="s",R333="n")</formula>
    </cfRule>
  </conditionalFormatting>
  <printOptions horizontalCentered="1"/>
  <pageMargins left="0.27559055118110237" right="0.23622047244094491" top="0.19685039370078741" bottom="0.39370078740157483" header="0.19685039370078741" footer="0.19685039370078741"/>
  <pageSetup paperSize="8" scale="83" fitToWidth="15" fitToHeight="18" orientation="landscape" verticalDpi="300" r:id="rId1"/>
  <headerFooter alignWithMargins="0">
    <oddHeader>&amp;L&amp;"Calibri"&amp;10&amp;K000000 General Business&amp;1#_x000D_</oddHeader>
    <oddFooter>&amp;L&amp;"Arial,Negrito itálico"&amp;8Arquivo: &amp;A - &amp;F&amp;R&amp;"Arial,Negrito"&amp;8Página: &amp;P de &amp;N</oddFooter>
  </headerFooter>
  <rowBreaks count="5" manualBreakCount="5">
    <brk id="63" max="16383" man="1"/>
    <brk id="199" max="16383" man="1"/>
    <brk id="262" max="16383" man="1"/>
    <brk id="365" max="16383" man="1"/>
    <brk id="465" max="16383" man="1"/>
  </rowBreaks>
  <ignoredErrors>
    <ignoredError sqref="G831:G832 G1035:G1055 G222:H222 G837 G357:H357 G1016:G1025 G1030 G879:G881 G502 G842:G845 G847:G850 G852:G854 G856:G859 G861:G865 G867:G872 G874:G877 G885:G903 G905:G946 G948:G973 G975:G986 G988:G990 G992:G1003 G1005:G1014 G1056:G1048576" formula="1"/>
    <ignoredError sqref="E236 L39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5688D-9759-4264-B92F-52E33AD43147}">
  <dimension ref="A1:C9"/>
  <sheetViews>
    <sheetView topLeftCell="A7" workbookViewId="0">
      <selection activeCell="E8" sqref="E8"/>
    </sheetView>
  </sheetViews>
  <sheetFormatPr defaultColWidth="9.140625" defaultRowHeight="12.75" x14ac:dyDescent="0.2"/>
  <cols>
    <col min="1" max="1" width="8.5703125" style="11" bestFit="1" customWidth="1"/>
    <col min="2" max="2" width="86.140625" style="281" bestFit="1" customWidth="1"/>
    <col min="3" max="3" width="11" style="281" bestFit="1" customWidth="1"/>
    <col min="4" max="16384" width="9.140625" style="281"/>
  </cols>
  <sheetData>
    <row r="1" spans="1:3" x14ac:dyDescent="0.2">
      <c r="A1" s="11" t="s">
        <v>1854</v>
      </c>
      <c r="B1" s="281" t="s">
        <v>1855</v>
      </c>
      <c r="C1" s="280">
        <v>1260</v>
      </c>
    </row>
    <row r="2" spans="1:3" x14ac:dyDescent="0.2">
      <c r="A2" s="11" t="s">
        <v>1839</v>
      </c>
      <c r="B2" s="281" t="s">
        <v>1838</v>
      </c>
      <c r="C2" s="280">
        <v>1260</v>
      </c>
    </row>
    <row r="3" spans="1:3" ht="51" x14ac:dyDescent="0.2">
      <c r="A3" s="11" t="s">
        <v>1840</v>
      </c>
      <c r="B3" s="282" t="s">
        <v>1841</v>
      </c>
      <c r="C3" s="280">
        <v>712.5</v>
      </c>
    </row>
    <row r="4" spans="1:3" ht="38.25" x14ac:dyDescent="0.2">
      <c r="A4" s="11" t="s">
        <v>1842</v>
      </c>
      <c r="B4" s="282" t="s">
        <v>1843</v>
      </c>
      <c r="C4" s="280">
        <v>1379.1</v>
      </c>
    </row>
    <row r="5" spans="1:3" ht="38.25" x14ac:dyDescent="0.2">
      <c r="A5" s="11" t="s">
        <v>1844</v>
      </c>
      <c r="B5" s="282" t="s">
        <v>1845</v>
      </c>
      <c r="C5" s="280">
        <v>787.5</v>
      </c>
    </row>
    <row r="6" spans="1:3" ht="38.25" x14ac:dyDescent="0.2">
      <c r="A6" s="11" t="s">
        <v>1846</v>
      </c>
      <c r="B6" s="282" t="s">
        <v>1847</v>
      </c>
      <c r="C6" s="280">
        <v>5148</v>
      </c>
    </row>
    <row r="7" spans="1:3" ht="178.5" x14ac:dyDescent="0.2">
      <c r="A7" s="11" t="s">
        <v>1848</v>
      </c>
      <c r="B7" s="282" t="s">
        <v>1849</v>
      </c>
      <c r="C7" s="280">
        <v>2707.5</v>
      </c>
    </row>
    <row r="8" spans="1:3" ht="153" x14ac:dyDescent="0.2">
      <c r="A8" s="11" t="s">
        <v>1850</v>
      </c>
      <c r="B8" s="282" t="s">
        <v>1851</v>
      </c>
      <c r="C8" s="280">
        <v>2892</v>
      </c>
    </row>
    <row r="9" spans="1:3" ht="178.5" x14ac:dyDescent="0.2">
      <c r="A9" s="11" t="s">
        <v>1852</v>
      </c>
      <c r="B9" s="282" t="s">
        <v>1853</v>
      </c>
      <c r="C9" s="280">
        <v>5549.7</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8008E-9726-493E-AF77-2F386E52B096}">
  <dimension ref="A1:D40"/>
  <sheetViews>
    <sheetView showGridLines="0" topLeftCell="A4" zoomScale="98" zoomScaleNormal="98" workbookViewId="0">
      <selection activeCell="B26" sqref="B26"/>
    </sheetView>
  </sheetViews>
  <sheetFormatPr defaultRowHeight="12.75" x14ac:dyDescent="0.2"/>
  <cols>
    <col min="1" max="1" width="6.42578125" bestFit="1" customWidth="1"/>
    <col min="2" max="2" width="50.28515625" bestFit="1" customWidth="1"/>
    <col min="3" max="3" width="86.28515625" customWidth="1"/>
    <col min="4" max="4" width="43.42578125" bestFit="1" customWidth="1"/>
    <col min="5" max="5" width="44" bestFit="1" customWidth="1"/>
  </cols>
  <sheetData>
    <row r="1" spans="1:3" x14ac:dyDescent="0.2">
      <c r="A1" s="233">
        <v>45566</v>
      </c>
      <c r="B1" s="234" t="s">
        <v>1493</v>
      </c>
      <c r="C1" s="47" t="s">
        <v>1504</v>
      </c>
    </row>
    <row r="2" spans="1:3" x14ac:dyDescent="0.2">
      <c r="A2" s="233">
        <v>45575</v>
      </c>
      <c r="B2" s="234" t="s">
        <v>1499</v>
      </c>
      <c r="C2" s="47" t="s">
        <v>1503</v>
      </c>
    </row>
    <row r="3" spans="1:3" x14ac:dyDescent="0.2">
      <c r="A3" s="233">
        <v>45576</v>
      </c>
      <c r="B3" s="234" t="s">
        <v>1500</v>
      </c>
      <c r="C3" s="47" t="s">
        <v>1502</v>
      </c>
    </row>
    <row r="4" spans="1:3" x14ac:dyDescent="0.2">
      <c r="A4" s="233">
        <v>45581</v>
      </c>
      <c r="B4" s="234" t="s">
        <v>1501</v>
      </c>
      <c r="C4" s="47" t="s">
        <v>1505</v>
      </c>
    </row>
    <row r="5" spans="1:3" x14ac:dyDescent="0.2">
      <c r="A5" s="233">
        <v>45581</v>
      </c>
      <c r="B5" s="234" t="s">
        <v>1496</v>
      </c>
    </row>
    <row r="6" spans="1:3" x14ac:dyDescent="0.2">
      <c r="A6" s="233">
        <v>45583</v>
      </c>
      <c r="B6" s="234" t="s">
        <v>1497</v>
      </c>
    </row>
    <row r="7" spans="1:3" x14ac:dyDescent="0.2">
      <c r="A7" s="233">
        <v>45585</v>
      </c>
      <c r="B7" s="234" t="s">
        <v>1494</v>
      </c>
    </row>
    <row r="8" spans="1:3" x14ac:dyDescent="0.2">
      <c r="A8" s="233">
        <v>45590</v>
      </c>
      <c r="B8" s="234" t="s">
        <v>1495</v>
      </c>
    </row>
    <row r="9" spans="1:3" x14ac:dyDescent="0.2">
      <c r="A9" s="233">
        <v>45597</v>
      </c>
      <c r="B9" s="234" t="s">
        <v>1498</v>
      </c>
    </row>
    <row r="12" spans="1:3" x14ac:dyDescent="0.2">
      <c r="A12" s="235">
        <v>45572</v>
      </c>
      <c r="B12" s="236" t="s">
        <v>1518</v>
      </c>
    </row>
    <row r="13" spans="1:3" x14ac:dyDescent="0.2">
      <c r="A13" s="235">
        <v>45580</v>
      </c>
      <c r="B13" s="236" t="s">
        <v>1517</v>
      </c>
    </row>
    <row r="14" spans="1:3" x14ac:dyDescent="0.2">
      <c r="A14" s="235">
        <v>45581</v>
      </c>
      <c r="B14" s="236" t="s">
        <v>1516</v>
      </c>
    </row>
    <row r="15" spans="1:3" x14ac:dyDescent="0.2">
      <c r="A15" s="235">
        <v>45586</v>
      </c>
      <c r="B15" s="236" t="s">
        <v>1501</v>
      </c>
    </row>
    <row r="16" spans="1:3" x14ac:dyDescent="0.2">
      <c r="A16" s="235">
        <v>45586</v>
      </c>
      <c r="B16" s="236" t="s">
        <v>1496</v>
      </c>
    </row>
    <row r="17" spans="1:4" x14ac:dyDescent="0.2">
      <c r="A17" s="235">
        <v>45590</v>
      </c>
      <c r="B17" s="236" t="s">
        <v>1497</v>
      </c>
    </row>
    <row r="18" spans="1:4" x14ac:dyDescent="0.2">
      <c r="A18" s="235">
        <v>45593</v>
      </c>
      <c r="B18" s="236" t="s">
        <v>1512</v>
      </c>
    </row>
    <row r="19" spans="1:4" x14ac:dyDescent="0.2">
      <c r="A19" s="235">
        <v>45596</v>
      </c>
      <c r="B19" s="236" t="s">
        <v>1495</v>
      </c>
    </row>
    <row r="20" spans="1:4" x14ac:dyDescent="0.2">
      <c r="A20" s="235">
        <v>45597</v>
      </c>
      <c r="B20" s="236" t="s">
        <v>1519</v>
      </c>
    </row>
    <row r="21" spans="1:4" x14ac:dyDescent="0.2">
      <c r="A21" s="235">
        <v>45601</v>
      </c>
      <c r="B21" s="236" t="s">
        <v>1506</v>
      </c>
    </row>
    <row r="23" spans="1:4" x14ac:dyDescent="0.2">
      <c r="C23" s="240" t="s">
        <v>1507</v>
      </c>
      <c r="D23" s="240" t="s">
        <v>1508</v>
      </c>
    </row>
    <row r="24" spans="1:4" x14ac:dyDescent="0.2">
      <c r="C24" s="237" t="s">
        <v>1511</v>
      </c>
      <c r="D24" s="237" t="s">
        <v>1509</v>
      </c>
    </row>
    <row r="25" spans="1:4" x14ac:dyDescent="0.2">
      <c r="C25" s="237" t="s">
        <v>1513</v>
      </c>
      <c r="D25" s="237" t="s">
        <v>1509</v>
      </c>
    </row>
    <row r="26" spans="1:4" x14ac:dyDescent="0.2">
      <c r="C26" s="237" t="s">
        <v>1514</v>
      </c>
      <c r="D26" s="237" t="s">
        <v>1509</v>
      </c>
    </row>
    <row r="27" spans="1:4" ht="25.5" x14ac:dyDescent="0.2">
      <c r="C27" s="239" t="s">
        <v>1515</v>
      </c>
      <c r="D27" s="238" t="s">
        <v>1510</v>
      </c>
    </row>
    <row r="31" spans="1:4" x14ac:dyDescent="0.2">
      <c r="A31" s="235">
        <v>45572</v>
      </c>
      <c r="B31" s="236" t="s">
        <v>1518</v>
      </c>
    </row>
    <row r="32" spans="1:4" x14ac:dyDescent="0.2">
      <c r="A32" s="235">
        <v>45582</v>
      </c>
      <c r="B32" s="236" t="s">
        <v>1517</v>
      </c>
    </row>
    <row r="33" spans="1:2" x14ac:dyDescent="0.2">
      <c r="A33" s="235">
        <v>45583</v>
      </c>
      <c r="B33" s="236" t="s">
        <v>1516</v>
      </c>
    </row>
    <row r="34" spans="1:2" x14ac:dyDescent="0.2">
      <c r="A34" s="235">
        <v>45586</v>
      </c>
      <c r="B34" s="236" t="s">
        <v>1501</v>
      </c>
    </row>
    <row r="35" spans="1:2" x14ac:dyDescent="0.2">
      <c r="A35" s="235">
        <v>45586</v>
      </c>
      <c r="B35" s="236" t="s">
        <v>1496</v>
      </c>
    </row>
    <row r="36" spans="1:2" x14ac:dyDescent="0.2">
      <c r="A36" s="235">
        <v>45590</v>
      </c>
      <c r="B36" s="236" t="s">
        <v>1497</v>
      </c>
    </row>
    <row r="37" spans="1:2" x14ac:dyDescent="0.2">
      <c r="A37" s="235">
        <v>45593</v>
      </c>
      <c r="B37" s="236" t="s">
        <v>1512</v>
      </c>
    </row>
    <row r="38" spans="1:2" x14ac:dyDescent="0.2">
      <c r="A38" s="235">
        <v>45596</v>
      </c>
      <c r="B38" s="236" t="s">
        <v>1495</v>
      </c>
    </row>
    <row r="39" spans="1:2" x14ac:dyDescent="0.2">
      <c r="A39" s="235">
        <v>45600</v>
      </c>
      <c r="B39" s="236" t="s">
        <v>1519</v>
      </c>
    </row>
    <row r="40" spans="1:2" x14ac:dyDescent="0.2">
      <c r="A40" s="235">
        <v>45601</v>
      </c>
      <c r="B40" s="236" t="s">
        <v>1506</v>
      </c>
    </row>
  </sheetData>
  <pageMargins left="0.511811024" right="0.511811024" top="0.78740157499999996" bottom="0.78740157499999996" header="0.31496062000000002" footer="0.31496062000000002"/>
  <headerFooter>
    <oddHeader>&amp;L&amp;"Calibri"&amp;10&amp;K000000 General Business&amp;1#_x000D_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6F7EA-B6D1-4796-A295-EA9809F9A371}">
  <dimension ref="A1:J26"/>
  <sheetViews>
    <sheetView workbookViewId="0">
      <selection activeCell="A21" sqref="A21"/>
    </sheetView>
  </sheetViews>
  <sheetFormatPr defaultRowHeight="12.75" x14ac:dyDescent="0.2"/>
  <cols>
    <col min="1" max="1" width="58.7109375" customWidth="1"/>
    <col min="2" max="2" width="77.140625" bestFit="1" customWidth="1"/>
  </cols>
  <sheetData>
    <row r="1" spans="1:10" ht="15" x14ac:dyDescent="0.2">
      <c r="A1" s="230" t="s">
        <v>1462</v>
      </c>
      <c r="B1" s="105" t="s">
        <v>875</v>
      </c>
      <c r="D1">
        <v>415</v>
      </c>
      <c r="E1" t="s">
        <v>1485</v>
      </c>
      <c r="G1" t="s">
        <v>1486</v>
      </c>
      <c r="H1">
        <v>3</v>
      </c>
      <c r="I1">
        <v>0</v>
      </c>
      <c r="J1" t="s">
        <v>1487</v>
      </c>
    </row>
    <row r="2" spans="1:10" ht="15" x14ac:dyDescent="0.2">
      <c r="A2" s="230" t="s">
        <v>1463</v>
      </c>
      <c r="B2" s="105" t="s">
        <v>506</v>
      </c>
      <c r="D2">
        <v>416</v>
      </c>
      <c r="E2" t="s">
        <v>1485</v>
      </c>
      <c r="G2" t="s">
        <v>1486</v>
      </c>
      <c r="H2">
        <v>15</v>
      </c>
      <c r="I2">
        <v>0</v>
      </c>
      <c r="J2" t="s">
        <v>1487</v>
      </c>
    </row>
    <row r="3" spans="1:10" ht="15" x14ac:dyDescent="0.2">
      <c r="A3" s="230" t="s">
        <v>1464</v>
      </c>
      <c r="B3" s="105" t="s">
        <v>876</v>
      </c>
      <c r="D3">
        <v>417</v>
      </c>
      <c r="E3" t="s">
        <v>1485</v>
      </c>
      <c r="G3" t="s">
        <v>1486</v>
      </c>
      <c r="H3">
        <v>15</v>
      </c>
      <c r="I3">
        <v>0</v>
      </c>
      <c r="J3" t="s">
        <v>1487</v>
      </c>
    </row>
    <row r="4" spans="1:10" ht="15" x14ac:dyDescent="0.2">
      <c r="A4" s="230" t="s">
        <v>1465</v>
      </c>
      <c r="B4" s="105" t="s">
        <v>877</v>
      </c>
      <c r="D4">
        <v>418</v>
      </c>
      <c r="E4" t="s">
        <v>1485</v>
      </c>
      <c r="G4" t="s">
        <v>1486</v>
      </c>
      <c r="H4">
        <v>15</v>
      </c>
      <c r="I4">
        <v>0</v>
      </c>
      <c r="J4" t="s">
        <v>1487</v>
      </c>
    </row>
    <row r="5" spans="1:10" ht="15" x14ac:dyDescent="0.2">
      <c r="A5" s="230" t="s">
        <v>1466</v>
      </c>
      <c r="B5" s="105" t="s">
        <v>878</v>
      </c>
      <c r="D5">
        <v>419</v>
      </c>
      <c r="E5" t="s">
        <v>1485</v>
      </c>
      <c r="G5" t="s">
        <v>1486</v>
      </c>
      <c r="H5">
        <v>15</v>
      </c>
      <c r="I5">
        <v>0</v>
      </c>
      <c r="J5" t="s">
        <v>1487</v>
      </c>
    </row>
    <row r="6" spans="1:10" ht="15" x14ac:dyDescent="0.2">
      <c r="A6" s="230" t="s">
        <v>1467</v>
      </c>
      <c r="B6" s="105" t="s">
        <v>879</v>
      </c>
      <c r="D6">
        <v>420</v>
      </c>
      <c r="E6" t="s">
        <v>1485</v>
      </c>
      <c r="G6" t="s">
        <v>1486</v>
      </c>
      <c r="H6">
        <v>15</v>
      </c>
      <c r="I6">
        <v>0</v>
      </c>
      <c r="J6" t="s">
        <v>1487</v>
      </c>
    </row>
    <row r="7" spans="1:10" ht="15" x14ac:dyDescent="0.2">
      <c r="A7" s="230" t="s">
        <v>1468</v>
      </c>
      <c r="B7" s="105" t="s">
        <v>296</v>
      </c>
      <c r="D7">
        <v>421</v>
      </c>
      <c r="E7" t="s">
        <v>1485</v>
      </c>
      <c r="G7" t="s">
        <v>1486</v>
      </c>
      <c r="H7">
        <v>15</v>
      </c>
      <c r="I7">
        <v>0</v>
      </c>
      <c r="J7" t="s">
        <v>1487</v>
      </c>
    </row>
    <row r="8" spans="1:10" ht="15" x14ac:dyDescent="0.2">
      <c r="A8" s="230" t="s">
        <v>1469</v>
      </c>
      <c r="B8" s="105" t="s">
        <v>880</v>
      </c>
      <c r="D8">
        <v>422</v>
      </c>
      <c r="E8" t="s">
        <v>1485</v>
      </c>
      <c r="G8" t="s">
        <v>1486</v>
      </c>
      <c r="H8">
        <v>15</v>
      </c>
      <c r="I8">
        <v>0</v>
      </c>
      <c r="J8" t="s">
        <v>1487</v>
      </c>
    </row>
    <row r="9" spans="1:10" ht="15" x14ac:dyDescent="0.2">
      <c r="A9" s="230" t="s">
        <v>1470</v>
      </c>
      <c r="B9" s="105" t="s">
        <v>881</v>
      </c>
      <c r="D9">
        <v>423</v>
      </c>
      <c r="E9" t="s">
        <v>1485</v>
      </c>
      <c r="G9" t="s">
        <v>1486</v>
      </c>
      <c r="H9">
        <v>15</v>
      </c>
      <c r="I9">
        <v>0</v>
      </c>
      <c r="J9" t="s">
        <v>1487</v>
      </c>
    </row>
    <row r="10" spans="1:10" ht="15" x14ac:dyDescent="0.2">
      <c r="A10" s="230" t="s">
        <v>1471</v>
      </c>
      <c r="B10" s="105" t="s">
        <v>603</v>
      </c>
      <c r="D10">
        <v>424</v>
      </c>
      <c r="E10" t="s">
        <v>1485</v>
      </c>
      <c r="G10" t="s">
        <v>1486</v>
      </c>
      <c r="H10">
        <v>15</v>
      </c>
      <c r="I10">
        <v>0</v>
      </c>
      <c r="J10" t="s">
        <v>1487</v>
      </c>
    </row>
    <row r="11" spans="1:10" ht="15" x14ac:dyDescent="0.2">
      <c r="A11" s="230" t="s">
        <v>1472</v>
      </c>
      <c r="B11" s="105" t="s">
        <v>623</v>
      </c>
      <c r="D11">
        <v>425</v>
      </c>
      <c r="E11" t="s">
        <v>1485</v>
      </c>
      <c r="G11" t="s">
        <v>1486</v>
      </c>
      <c r="H11">
        <v>15</v>
      </c>
      <c r="I11">
        <v>0</v>
      </c>
      <c r="J11" t="s">
        <v>1487</v>
      </c>
    </row>
    <row r="12" spans="1:10" ht="15" x14ac:dyDescent="0.2">
      <c r="A12" s="230" t="s">
        <v>1473</v>
      </c>
      <c r="B12" s="105" t="s">
        <v>882</v>
      </c>
      <c r="D12">
        <v>426</v>
      </c>
      <c r="E12" t="s">
        <v>1485</v>
      </c>
      <c r="G12" t="s">
        <v>1486</v>
      </c>
      <c r="H12">
        <v>15</v>
      </c>
      <c r="I12">
        <v>0</v>
      </c>
      <c r="J12" t="s">
        <v>1487</v>
      </c>
    </row>
    <row r="13" spans="1:10" ht="15" x14ac:dyDescent="0.2">
      <c r="A13" s="230" t="s">
        <v>1474</v>
      </c>
      <c r="B13" s="105" t="s">
        <v>883</v>
      </c>
      <c r="D13">
        <v>427</v>
      </c>
      <c r="E13" t="s">
        <v>1485</v>
      </c>
      <c r="G13" t="s">
        <v>1486</v>
      </c>
      <c r="H13">
        <v>15</v>
      </c>
      <c r="I13">
        <v>0</v>
      </c>
      <c r="J13" t="s">
        <v>1487</v>
      </c>
    </row>
    <row r="14" spans="1:10" ht="15" x14ac:dyDescent="0.2">
      <c r="A14" s="230" t="s">
        <v>1475</v>
      </c>
      <c r="B14" s="105" t="s">
        <v>884</v>
      </c>
      <c r="D14">
        <v>428</v>
      </c>
      <c r="E14" t="s">
        <v>1485</v>
      </c>
      <c r="G14" t="s">
        <v>1486</v>
      </c>
      <c r="H14">
        <v>15</v>
      </c>
      <c r="I14">
        <v>0</v>
      </c>
      <c r="J14" t="s">
        <v>1487</v>
      </c>
    </row>
    <row r="15" spans="1:10" ht="15" x14ac:dyDescent="0.2">
      <c r="A15" s="230" t="s">
        <v>1476</v>
      </c>
      <c r="B15" s="105" t="s">
        <v>885</v>
      </c>
      <c r="D15">
        <v>429</v>
      </c>
      <c r="E15" t="s">
        <v>1485</v>
      </c>
      <c r="G15" t="s">
        <v>1486</v>
      </c>
      <c r="H15">
        <v>15</v>
      </c>
      <c r="I15">
        <v>0</v>
      </c>
      <c r="J15" t="s">
        <v>1487</v>
      </c>
    </row>
    <row r="16" spans="1:10" ht="15" x14ac:dyDescent="0.2">
      <c r="A16" s="230" t="s">
        <v>1477</v>
      </c>
      <c r="B16" s="105" t="s">
        <v>886</v>
      </c>
      <c r="D16">
        <v>430</v>
      </c>
      <c r="E16" t="s">
        <v>1485</v>
      </c>
      <c r="G16" t="s">
        <v>1486</v>
      </c>
      <c r="H16">
        <v>15</v>
      </c>
      <c r="I16">
        <v>0</v>
      </c>
      <c r="J16" t="s">
        <v>1487</v>
      </c>
    </row>
    <row r="17" spans="1:10" ht="15" x14ac:dyDescent="0.2">
      <c r="A17" s="230" t="s">
        <v>1478</v>
      </c>
      <c r="B17" s="173" t="s">
        <v>312</v>
      </c>
      <c r="D17">
        <v>431</v>
      </c>
      <c r="E17" t="s">
        <v>1485</v>
      </c>
      <c r="G17" t="s">
        <v>1486</v>
      </c>
      <c r="H17">
        <v>15</v>
      </c>
      <c r="I17">
        <v>0</v>
      </c>
      <c r="J17" t="s">
        <v>1487</v>
      </c>
    </row>
    <row r="18" spans="1:10" ht="15" x14ac:dyDescent="0.2">
      <c r="A18" s="230" t="s">
        <v>1479</v>
      </c>
      <c r="B18" s="105" t="s">
        <v>888</v>
      </c>
      <c r="D18">
        <v>432</v>
      </c>
      <c r="E18" t="s">
        <v>1485</v>
      </c>
      <c r="G18" t="s">
        <v>1486</v>
      </c>
      <c r="H18">
        <v>15</v>
      </c>
      <c r="I18">
        <v>0</v>
      </c>
      <c r="J18" t="s">
        <v>1487</v>
      </c>
    </row>
    <row r="19" spans="1:10" ht="15" x14ac:dyDescent="0.2">
      <c r="A19" s="230" t="s">
        <v>1480</v>
      </c>
      <c r="B19" s="105" t="s">
        <v>890</v>
      </c>
      <c r="D19">
        <v>433</v>
      </c>
      <c r="E19" t="s">
        <v>1485</v>
      </c>
      <c r="G19" t="s">
        <v>1486</v>
      </c>
      <c r="H19">
        <v>15</v>
      </c>
      <c r="I19">
        <v>0</v>
      </c>
      <c r="J19" t="s">
        <v>1487</v>
      </c>
    </row>
    <row r="20" spans="1:10" ht="15" x14ac:dyDescent="0.2">
      <c r="A20" s="230" t="s">
        <v>1481</v>
      </c>
      <c r="B20" s="105" t="s">
        <v>892</v>
      </c>
      <c r="D20">
        <v>444</v>
      </c>
      <c r="E20" t="s">
        <v>1485</v>
      </c>
      <c r="G20" t="s">
        <v>1486</v>
      </c>
      <c r="H20">
        <v>15</v>
      </c>
      <c r="I20">
        <v>0</v>
      </c>
      <c r="J20" t="s">
        <v>1487</v>
      </c>
    </row>
    <row r="21" spans="1:10" ht="15" x14ac:dyDescent="0.2">
      <c r="A21" s="230" t="s">
        <v>1482</v>
      </c>
      <c r="B21" s="105" t="s">
        <v>894</v>
      </c>
      <c r="D21">
        <v>445</v>
      </c>
      <c r="E21" t="s">
        <v>1485</v>
      </c>
      <c r="G21" t="s">
        <v>1486</v>
      </c>
      <c r="H21">
        <v>15</v>
      </c>
      <c r="I21">
        <v>0</v>
      </c>
      <c r="J21" t="s">
        <v>1487</v>
      </c>
    </row>
    <row r="22" spans="1:10" ht="15" x14ac:dyDescent="0.2">
      <c r="A22" s="230" t="s">
        <v>1483</v>
      </c>
      <c r="B22" s="105" t="s">
        <v>896</v>
      </c>
      <c r="D22">
        <v>446</v>
      </c>
      <c r="E22" t="s">
        <v>1485</v>
      </c>
      <c r="G22" t="s">
        <v>1486</v>
      </c>
      <c r="H22">
        <v>15</v>
      </c>
      <c r="I22">
        <v>0</v>
      </c>
      <c r="J22" t="s">
        <v>1487</v>
      </c>
    </row>
    <row r="23" spans="1:10" ht="15" x14ac:dyDescent="0.2">
      <c r="A23" s="230" t="s">
        <v>1484</v>
      </c>
      <c r="B23" s="105" t="s">
        <v>899</v>
      </c>
      <c r="D23">
        <v>447</v>
      </c>
      <c r="E23" t="s">
        <v>1485</v>
      </c>
      <c r="G23" t="s">
        <v>1486</v>
      </c>
      <c r="H23">
        <v>15</v>
      </c>
      <c r="I23">
        <v>0</v>
      </c>
      <c r="J23" t="s">
        <v>1487</v>
      </c>
    </row>
    <row r="24" spans="1:10" ht="15" x14ac:dyDescent="0.2">
      <c r="B24" s="105" t="s">
        <v>902</v>
      </c>
      <c r="D24">
        <v>448</v>
      </c>
      <c r="E24" t="s">
        <v>1485</v>
      </c>
      <c r="G24" t="s">
        <v>1486</v>
      </c>
      <c r="H24">
        <v>15</v>
      </c>
      <c r="I24">
        <v>0</v>
      </c>
      <c r="J24" t="s">
        <v>1487</v>
      </c>
    </row>
    <row r="25" spans="1:10" ht="15" x14ac:dyDescent="0.2">
      <c r="B25" s="105" t="s">
        <v>905</v>
      </c>
      <c r="D25">
        <v>449</v>
      </c>
      <c r="E25" t="s">
        <v>1485</v>
      </c>
      <c r="G25" t="s">
        <v>1486</v>
      </c>
      <c r="H25">
        <v>15</v>
      </c>
      <c r="I25">
        <v>0</v>
      </c>
      <c r="J25" t="s">
        <v>1487</v>
      </c>
    </row>
    <row r="26" spans="1:10" x14ac:dyDescent="0.2">
      <c r="B26" s="112" t="s">
        <v>28</v>
      </c>
      <c r="D26">
        <v>450</v>
      </c>
      <c r="E26" t="s">
        <v>1485</v>
      </c>
      <c r="G26" t="s">
        <v>1486</v>
      </c>
      <c r="H26">
        <v>15</v>
      </c>
      <c r="I26">
        <v>0</v>
      </c>
      <c r="J26" t="s">
        <v>1487</v>
      </c>
    </row>
  </sheetData>
  <conditionalFormatting sqref="B1:B25">
    <cfRule type="expression" dxfId="77" priority="1" stopIfTrue="1">
      <formula>AND(E1="s",F1="n")</formula>
    </cfRule>
  </conditionalFormatting>
  <pageMargins left="0.511811024" right="0.511811024" top="0.78740157499999996" bottom="0.78740157499999996" header="0.31496062000000002" footer="0.31496062000000002"/>
  <pageSetup paperSize="9" orientation="portrait" r:id="rId1"/>
  <headerFooter>
    <oddHeader>&amp;L&amp;"Calibri"&amp;10&amp;K000000 General Business&amp;1#_x000D_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FDEEC-675B-4A35-8D8F-09169D1205DD}">
  <dimension ref="A1:J7"/>
  <sheetViews>
    <sheetView workbookViewId="0">
      <selection sqref="A1:J7"/>
    </sheetView>
  </sheetViews>
  <sheetFormatPr defaultRowHeight="12.75" x14ac:dyDescent="0.2"/>
  <cols>
    <col min="1" max="1" width="40.85546875" bestFit="1" customWidth="1"/>
    <col min="2" max="2" width="49.42578125" bestFit="1" customWidth="1"/>
    <col min="3" max="3" width="6.5703125" bestFit="1" customWidth="1"/>
    <col min="4" max="4" width="6" bestFit="1" customWidth="1"/>
    <col min="5" max="5" width="4.42578125" bestFit="1" customWidth="1"/>
    <col min="6" max="6" width="9.5703125" bestFit="1" customWidth="1"/>
    <col min="7" max="7" width="5" bestFit="1" customWidth="1"/>
    <col min="8" max="8" width="9.28515625" bestFit="1" customWidth="1"/>
    <col min="9" max="9" width="8.5703125" bestFit="1" customWidth="1"/>
    <col min="10" max="10" width="105.7109375" customWidth="1"/>
  </cols>
  <sheetData>
    <row r="1" spans="1:10" s="1" customFormat="1" x14ac:dyDescent="0.2">
      <c r="A1" s="9" t="s">
        <v>3</v>
      </c>
      <c r="B1" s="6"/>
      <c r="C1" s="53" t="s">
        <v>4</v>
      </c>
      <c r="D1" s="5" t="s">
        <v>5</v>
      </c>
      <c r="E1" s="5" t="s">
        <v>6</v>
      </c>
      <c r="F1" s="5" t="s">
        <v>7</v>
      </c>
      <c r="G1" s="5" t="s">
        <v>8</v>
      </c>
      <c r="H1" s="5" t="s">
        <v>9</v>
      </c>
      <c r="I1" s="5" t="s">
        <v>10</v>
      </c>
      <c r="J1" s="6" t="s">
        <v>11</v>
      </c>
    </row>
    <row r="2" spans="1:10" x14ac:dyDescent="0.2">
      <c r="A2" s="163" t="s">
        <v>811</v>
      </c>
      <c r="B2" s="163"/>
      <c r="C2" s="219" t="s">
        <v>14</v>
      </c>
      <c r="D2" s="220">
        <f>$E$16+1</f>
        <v>1</v>
      </c>
      <c r="E2" s="220">
        <f>F2+$E$16</f>
        <v>3</v>
      </c>
      <c r="F2" s="220">
        <v>3</v>
      </c>
      <c r="G2" s="220" t="s">
        <v>18</v>
      </c>
      <c r="H2" s="220"/>
      <c r="I2" s="164"/>
      <c r="J2" s="164" t="s">
        <v>812</v>
      </c>
    </row>
    <row r="3" spans="1:10" ht="15" x14ac:dyDescent="0.2">
      <c r="A3" s="112"/>
      <c r="B3" s="172" t="s">
        <v>267</v>
      </c>
      <c r="C3" s="110">
        <v>99</v>
      </c>
      <c r="D3" s="107">
        <f>E2+1</f>
        <v>4</v>
      </c>
      <c r="E3" s="107">
        <f>E2+F3</f>
        <v>6</v>
      </c>
      <c r="F3" s="111">
        <v>3</v>
      </c>
      <c r="G3" s="111" t="s">
        <v>18</v>
      </c>
      <c r="H3" s="107"/>
      <c r="I3" s="108"/>
      <c r="J3" s="108" t="s">
        <v>268</v>
      </c>
    </row>
    <row r="4" spans="1:10" x14ac:dyDescent="0.2">
      <c r="A4" s="112"/>
      <c r="B4" s="112" t="s">
        <v>813</v>
      </c>
      <c r="C4" s="106" t="s">
        <v>814</v>
      </c>
      <c r="D4" s="107">
        <v>13</v>
      </c>
      <c r="E4" s="107">
        <v>24</v>
      </c>
      <c r="F4" s="107">
        <v>12</v>
      </c>
      <c r="G4" s="107" t="s">
        <v>18</v>
      </c>
      <c r="H4" s="107"/>
      <c r="I4" s="108"/>
      <c r="J4" s="108" t="s">
        <v>810</v>
      </c>
    </row>
    <row r="5" spans="1:10" x14ac:dyDescent="0.2">
      <c r="A5" s="112"/>
      <c r="B5" s="112" t="s">
        <v>815</v>
      </c>
      <c r="C5" s="106" t="s">
        <v>816</v>
      </c>
      <c r="D5" s="107">
        <v>25</v>
      </c>
      <c r="E5" s="107">
        <v>68</v>
      </c>
      <c r="F5" s="107">
        <v>44</v>
      </c>
      <c r="G5" s="107" t="s">
        <v>18</v>
      </c>
      <c r="H5" s="107"/>
      <c r="I5" s="108"/>
      <c r="J5" s="108" t="s">
        <v>817</v>
      </c>
    </row>
    <row r="6" spans="1:10" x14ac:dyDescent="0.2">
      <c r="A6" s="112"/>
      <c r="B6" s="112" t="s">
        <v>818</v>
      </c>
      <c r="C6" s="106" t="s">
        <v>819</v>
      </c>
      <c r="D6" s="107">
        <v>69</v>
      </c>
      <c r="E6" s="107">
        <v>83</v>
      </c>
      <c r="F6" s="107">
        <v>15</v>
      </c>
      <c r="G6" s="107" t="s">
        <v>18</v>
      </c>
      <c r="H6" s="107">
        <v>4</v>
      </c>
      <c r="I6" s="108"/>
      <c r="J6" s="108" t="s">
        <v>820</v>
      </c>
    </row>
    <row r="7" spans="1:10" x14ac:dyDescent="0.2">
      <c r="A7" s="112"/>
      <c r="B7" s="112" t="s">
        <v>28</v>
      </c>
      <c r="C7" s="106" t="s">
        <v>14</v>
      </c>
      <c r="D7" s="107">
        <v>84</v>
      </c>
      <c r="E7" s="107">
        <v>600</v>
      </c>
      <c r="F7" s="107">
        <v>516</v>
      </c>
      <c r="G7" s="107" t="s">
        <v>15</v>
      </c>
      <c r="H7" s="107"/>
      <c r="I7" s="108"/>
      <c r="J7" s="108" t="s">
        <v>29</v>
      </c>
    </row>
  </sheetData>
  <conditionalFormatting sqref="B2">
    <cfRule type="expression" dxfId="76" priority="3" stopIfTrue="1">
      <formula>AND(#REF!="s",#REF!="n")</formula>
    </cfRule>
  </conditionalFormatting>
  <conditionalFormatting sqref="B3:B7">
    <cfRule type="expression" dxfId="75" priority="2" stopIfTrue="1">
      <formula>AND(E3="s",F3="n")</formula>
    </cfRule>
  </conditionalFormatting>
  <conditionalFormatting sqref="C2:C7">
    <cfRule type="expression" dxfId="74" priority="1" stopIfTrue="1">
      <formula>AND(G2="s",H2="n")</formula>
    </cfRule>
  </conditionalFormatting>
  <pageMargins left="0.511811024" right="0.511811024" top="0.78740157499999996" bottom="0.78740157499999996" header="0.31496062000000002" footer="0.31496062000000002"/>
  <headerFooter>
    <oddHeader>&amp;L&amp;"Calibri"&amp;10&amp;K000000 General Business&amp;1#_x000D_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0"/>
  <sheetViews>
    <sheetView topLeftCell="A4" workbookViewId="0">
      <selection activeCell="T12" sqref="T12"/>
    </sheetView>
  </sheetViews>
  <sheetFormatPr defaultColWidth="9.140625" defaultRowHeight="15" x14ac:dyDescent="0.25"/>
  <cols>
    <col min="1" max="1" width="6.28515625" style="80" customWidth="1"/>
    <col min="2" max="2" width="13.28515625" style="80" bestFit="1" customWidth="1"/>
    <col min="3" max="3" width="4.42578125" style="80" bestFit="1" customWidth="1"/>
    <col min="4" max="4" width="4.140625" style="80" bestFit="1" customWidth="1"/>
    <col min="5" max="5" width="7.28515625" style="80" bestFit="1" customWidth="1"/>
    <col min="6" max="6" width="4.28515625" style="80" bestFit="1" customWidth="1"/>
    <col min="7" max="7" width="7.85546875" style="80" bestFit="1" customWidth="1"/>
    <col min="8" max="8" width="6.7109375" style="80" bestFit="1" customWidth="1"/>
    <col min="9" max="9" width="6.5703125" style="80" bestFit="1" customWidth="1"/>
    <col min="10" max="10" width="9.28515625" style="80" bestFit="1" customWidth="1"/>
    <col min="11" max="11" width="8.5703125" style="80" bestFit="1" customWidth="1"/>
    <col min="12" max="12" width="9.85546875" style="80" bestFit="1" customWidth="1"/>
    <col min="13" max="13" width="6.28515625" style="80" bestFit="1" customWidth="1"/>
    <col min="14" max="14" width="8.7109375" style="80" bestFit="1" customWidth="1"/>
    <col min="15" max="15" width="8.5703125" style="80" bestFit="1" customWidth="1"/>
    <col min="16" max="16" width="12.42578125" style="80" bestFit="1" customWidth="1"/>
    <col min="17" max="17" width="9.28515625" style="80" bestFit="1" customWidth="1"/>
    <col min="18" max="18" width="11.5703125" style="80" bestFit="1" customWidth="1"/>
    <col min="19" max="19" width="12.140625" style="80" bestFit="1" customWidth="1"/>
    <col min="20" max="26" width="9.140625" style="80"/>
    <col min="27" max="27" width="9.5703125" style="80" bestFit="1" customWidth="1"/>
    <col min="28" max="29" width="9.140625" style="80"/>
    <col min="30" max="30" width="12.5703125" style="80" bestFit="1" customWidth="1"/>
    <col min="31" max="31" width="10.42578125" style="80" bestFit="1" customWidth="1"/>
    <col min="32" max="32" width="10.28515625" style="80" bestFit="1" customWidth="1"/>
    <col min="33" max="33" width="11.42578125" style="80" bestFit="1" customWidth="1"/>
    <col min="34" max="34" width="7.85546875" style="80" bestFit="1" customWidth="1"/>
    <col min="35" max="35" width="10.28515625" style="80" bestFit="1" customWidth="1"/>
    <col min="36" max="36" width="10.140625" style="80" bestFit="1" customWidth="1"/>
    <col min="37" max="16384" width="9.140625" style="80"/>
  </cols>
  <sheetData>
    <row r="1" spans="1:36" ht="23.25" x14ac:dyDescent="0.35">
      <c r="A1" s="79" t="s">
        <v>1238</v>
      </c>
    </row>
    <row r="2" spans="1:36" ht="7.5" customHeight="1" x14ac:dyDescent="0.25"/>
    <row r="3" spans="1:36" ht="18.75" x14ac:dyDescent="0.3">
      <c r="A3" s="81" t="s">
        <v>1239</v>
      </c>
    </row>
    <row r="4" spans="1:36" ht="6" customHeight="1" x14ac:dyDescent="0.25"/>
    <row r="5" spans="1:36" ht="30" customHeight="1" x14ac:dyDescent="0.25">
      <c r="A5" s="82" t="s">
        <v>2</v>
      </c>
      <c r="B5" s="82" t="s">
        <v>1240</v>
      </c>
      <c r="C5" s="82" t="s">
        <v>1241</v>
      </c>
      <c r="D5" s="82" t="s">
        <v>1240</v>
      </c>
      <c r="E5" s="82" t="s">
        <v>1242</v>
      </c>
      <c r="F5" s="82" t="s">
        <v>1243</v>
      </c>
      <c r="G5" s="82" t="s">
        <v>1244</v>
      </c>
      <c r="H5" s="82" t="s">
        <v>1245</v>
      </c>
      <c r="I5" s="82" t="s">
        <v>1246</v>
      </c>
      <c r="J5" s="82" t="s">
        <v>1247</v>
      </c>
      <c r="K5" s="82" t="s">
        <v>1248</v>
      </c>
      <c r="L5" s="82" t="s">
        <v>1249</v>
      </c>
      <c r="M5" s="82" t="s">
        <v>1250</v>
      </c>
      <c r="N5" s="82" t="s">
        <v>1251</v>
      </c>
      <c r="O5" s="82" t="s">
        <v>1252</v>
      </c>
      <c r="P5" s="82" t="s">
        <v>1253</v>
      </c>
      <c r="Q5" s="82" t="s">
        <v>1254</v>
      </c>
      <c r="R5" s="82" t="s">
        <v>1255</v>
      </c>
      <c r="S5" s="82" t="s">
        <v>1256</v>
      </c>
      <c r="T5" s="82" t="s">
        <v>1257</v>
      </c>
      <c r="U5" s="82" t="s">
        <v>1258</v>
      </c>
      <c r="V5" s="82" t="s">
        <v>1259</v>
      </c>
      <c r="W5" s="82" t="s">
        <v>1260</v>
      </c>
      <c r="X5" s="82" t="s">
        <v>1261</v>
      </c>
      <c r="Y5" s="82" t="s">
        <v>1262</v>
      </c>
      <c r="Z5" s="82" t="s">
        <v>1263</v>
      </c>
      <c r="AA5" s="82" t="s">
        <v>1264</v>
      </c>
      <c r="AB5" s="82" t="s">
        <v>1265</v>
      </c>
      <c r="AC5" s="82" t="s">
        <v>1266</v>
      </c>
      <c r="AD5" s="82" t="s">
        <v>1267</v>
      </c>
      <c r="AE5" s="82" t="s">
        <v>1268</v>
      </c>
      <c r="AF5" s="82" t="s">
        <v>1269</v>
      </c>
      <c r="AG5" s="227" t="s">
        <v>1270</v>
      </c>
      <c r="AH5" s="227" t="s">
        <v>1271</v>
      </c>
      <c r="AI5" s="227" t="s">
        <v>1272</v>
      </c>
      <c r="AJ5" s="227" t="s">
        <v>1273</v>
      </c>
    </row>
    <row r="6" spans="1:36" x14ac:dyDescent="0.25">
      <c r="A6" s="83">
        <v>1</v>
      </c>
      <c r="B6" s="83" t="s">
        <v>1274</v>
      </c>
      <c r="C6" s="84" t="s">
        <v>1275</v>
      </c>
      <c r="D6" s="84" t="s">
        <v>1275</v>
      </c>
      <c r="E6" s="84" t="s">
        <v>1275</v>
      </c>
      <c r="F6" s="84" t="s">
        <v>1275</v>
      </c>
      <c r="G6" s="96"/>
      <c r="H6" s="84" t="s">
        <v>1275</v>
      </c>
      <c r="I6" s="84" t="s">
        <v>1275</v>
      </c>
      <c r="J6" s="96"/>
      <c r="K6" s="96"/>
      <c r="L6" s="96"/>
      <c r="M6" s="96"/>
      <c r="N6" s="96"/>
      <c r="O6" s="96"/>
      <c r="P6" s="96"/>
      <c r="Q6" s="96"/>
      <c r="R6" s="96"/>
      <c r="S6" s="96"/>
      <c r="T6" s="96"/>
      <c r="U6" s="96"/>
      <c r="V6" s="96"/>
      <c r="W6" s="96"/>
      <c r="X6" s="96"/>
      <c r="Y6" s="87" t="s">
        <v>1276</v>
      </c>
      <c r="Z6" s="87" t="s">
        <v>1276</v>
      </c>
      <c r="AA6" s="96"/>
      <c r="AB6" s="96"/>
      <c r="AC6" s="96"/>
      <c r="AD6" s="96"/>
      <c r="AE6" s="96"/>
      <c r="AF6" s="96"/>
      <c r="AG6" s="96"/>
      <c r="AH6" s="96"/>
      <c r="AI6" s="96"/>
      <c r="AJ6" s="96"/>
    </row>
    <row r="7" spans="1:36" x14ac:dyDescent="0.25">
      <c r="A7" s="83">
        <v>2</v>
      </c>
      <c r="B7" s="83" t="s">
        <v>1277</v>
      </c>
      <c r="C7" s="84" t="s">
        <v>1275</v>
      </c>
      <c r="D7" s="84" t="s">
        <v>1275</v>
      </c>
      <c r="E7" s="84" t="s">
        <v>1275</v>
      </c>
      <c r="F7" s="96"/>
      <c r="G7" s="96"/>
      <c r="H7" s="84" t="s">
        <v>1275</v>
      </c>
      <c r="I7" s="84" t="s">
        <v>1275</v>
      </c>
      <c r="J7" s="84" t="s">
        <v>1275</v>
      </c>
      <c r="K7" s="87" t="s">
        <v>1278</v>
      </c>
      <c r="L7" s="87" t="s">
        <v>1278</v>
      </c>
      <c r="M7" s="84" t="s">
        <v>1275</v>
      </c>
      <c r="N7" s="84" t="s">
        <v>1275</v>
      </c>
      <c r="O7" s="96"/>
      <c r="P7" s="96"/>
      <c r="Q7" s="96"/>
      <c r="R7" s="96"/>
      <c r="S7" s="96"/>
      <c r="T7" s="96"/>
      <c r="U7" s="96"/>
      <c r="V7" s="96"/>
      <c r="W7" s="96"/>
      <c r="X7" s="87" t="s">
        <v>1276</v>
      </c>
      <c r="Y7" s="87" t="s">
        <v>1276</v>
      </c>
      <c r="Z7" s="87" t="s">
        <v>1276</v>
      </c>
      <c r="AA7" s="87" t="s">
        <v>1276</v>
      </c>
      <c r="AB7" s="87" t="s">
        <v>1276</v>
      </c>
      <c r="AC7" s="87" t="s">
        <v>1276</v>
      </c>
      <c r="AD7" s="96"/>
      <c r="AE7" s="96"/>
      <c r="AF7" s="96"/>
      <c r="AG7" s="96"/>
      <c r="AH7" s="96"/>
      <c r="AI7" s="96"/>
      <c r="AJ7" s="96"/>
    </row>
    <row r="8" spans="1:36" x14ac:dyDescent="0.25">
      <c r="A8" s="83">
        <v>3</v>
      </c>
      <c r="B8" s="83" t="s">
        <v>1279</v>
      </c>
      <c r="C8" s="84" t="s">
        <v>1275</v>
      </c>
      <c r="D8" s="84" t="s">
        <v>1275</v>
      </c>
      <c r="E8" s="84" t="s">
        <v>1275</v>
      </c>
      <c r="F8" s="84" t="s">
        <v>1275</v>
      </c>
      <c r="G8" s="84" t="s">
        <v>1275</v>
      </c>
      <c r="H8" s="84" t="s">
        <v>1275</v>
      </c>
      <c r="I8" s="84" t="s">
        <v>1275</v>
      </c>
      <c r="J8" s="96"/>
      <c r="K8" s="96"/>
      <c r="L8" s="96"/>
      <c r="M8" s="96"/>
      <c r="N8" s="96"/>
      <c r="O8" s="96"/>
      <c r="P8" s="85" t="s">
        <v>1278</v>
      </c>
      <c r="Q8" s="96"/>
      <c r="R8" s="96"/>
      <c r="S8" s="85" t="s">
        <v>1278</v>
      </c>
      <c r="T8" s="96"/>
      <c r="U8" s="96"/>
      <c r="V8" s="96"/>
      <c r="W8" s="96"/>
      <c r="X8" s="87" t="s">
        <v>1276</v>
      </c>
      <c r="Y8" s="87" t="s">
        <v>1276</v>
      </c>
      <c r="Z8" s="87" t="s">
        <v>1276</v>
      </c>
      <c r="AA8" s="96"/>
      <c r="AB8" s="96"/>
      <c r="AC8" s="96"/>
      <c r="AD8" s="96"/>
      <c r="AE8" s="96"/>
      <c r="AF8" s="96"/>
      <c r="AG8" s="96"/>
      <c r="AH8" s="96"/>
      <c r="AI8" s="96"/>
      <c r="AJ8" s="96"/>
    </row>
    <row r="9" spans="1:36" x14ac:dyDescent="0.25">
      <c r="A9" s="83">
        <v>4</v>
      </c>
      <c r="B9" s="83" t="s">
        <v>1280</v>
      </c>
      <c r="C9" s="84" t="s">
        <v>1275</v>
      </c>
      <c r="D9" s="84" t="s">
        <v>1275</v>
      </c>
      <c r="E9" s="96"/>
      <c r="F9" s="96"/>
      <c r="G9" s="96"/>
      <c r="H9" s="96"/>
      <c r="I9" s="96"/>
      <c r="J9" s="84" t="s">
        <v>1275</v>
      </c>
      <c r="K9" s="87" t="s">
        <v>1278</v>
      </c>
      <c r="L9" s="87" t="s">
        <v>1278</v>
      </c>
      <c r="M9" s="84" t="s">
        <v>1275</v>
      </c>
      <c r="N9" s="84" t="s">
        <v>1275</v>
      </c>
      <c r="O9" s="84" t="s">
        <v>1275</v>
      </c>
      <c r="P9" s="85" t="s">
        <v>1276</v>
      </c>
      <c r="Q9" s="96"/>
      <c r="R9" s="96"/>
      <c r="S9" s="85" t="s">
        <v>1276</v>
      </c>
      <c r="T9" s="96"/>
      <c r="U9" s="96"/>
      <c r="V9" s="96"/>
      <c r="W9" s="96"/>
      <c r="X9" s="96"/>
      <c r="Y9" s="96"/>
      <c r="Z9" s="96"/>
      <c r="AA9" s="87" t="s">
        <v>1276</v>
      </c>
      <c r="AB9" s="87" t="s">
        <v>1276</v>
      </c>
      <c r="AC9" s="87" t="s">
        <v>1276</v>
      </c>
      <c r="AD9" s="96"/>
      <c r="AE9" s="96"/>
      <c r="AF9" s="96"/>
      <c r="AG9" s="96"/>
      <c r="AH9" s="96"/>
      <c r="AI9" s="96"/>
      <c r="AJ9" s="96"/>
    </row>
    <row r="10" spans="1:36" x14ac:dyDescent="0.25">
      <c r="A10" s="83">
        <v>5</v>
      </c>
      <c r="B10" s="83" t="s">
        <v>1281</v>
      </c>
      <c r="C10" s="84" t="s">
        <v>1275</v>
      </c>
      <c r="D10" s="84" t="s">
        <v>1275</v>
      </c>
      <c r="E10" s="96"/>
      <c r="F10" s="96"/>
      <c r="G10" s="96"/>
      <c r="H10" s="96"/>
      <c r="I10" s="85" t="s">
        <v>1278</v>
      </c>
      <c r="J10" s="96"/>
      <c r="K10" s="96"/>
      <c r="L10" s="96"/>
      <c r="M10" s="96"/>
      <c r="N10" s="96"/>
      <c r="O10" s="96"/>
      <c r="P10" s="85" t="s">
        <v>1278</v>
      </c>
      <c r="Q10" s="96"/>
      <c r="R10" s="96"/>
      <c r="S10" s="85" t="s">
        <v>1278</v>
      </c>
      <c r="T10" s="96"/>
      <c r="U10" s="96"/>
      <c r="V10" s="96"/>
      <c r="W10" s="96"/>
      <c r="X10" s="96"/>
      <c r="Y10" s="96"/>
      <c r="Z10" s="96"/>
      <c r="AA10" s="96"/>
      <c r="AB10" s="96"/>
      <c r="AC10" s="96"/>
      <c r="AD10" s="96"/>
      <c r="AE10" s="96"/>
      <c r="AF10" s="96"/>
      <c r="AG10" s="96"/>
      <c r="AH10" s="96"/>
      <c r="AI10" s="96"/>
      <c r="AJ10" s="96"/>
    </row>
    <row r="11" spans="1:36" x14ac:dyDescent="0.25">
      <c r="A11" s="83">
        <v>6</v>
      </c>
      <c r="B11" s="83" t="s">
        <v>1282</v>
      </c>
      <c r="C11" s="84" t="s">
        <v>1275</v>
      </c>
      <c r="D11" s="84" t="s">
        <v>1275</v>
      </c>
      <c r="E11" s="87" t="s">
        <v>1278</v>
      </c>
      <c r="F11" s="87" t="s">
        <v>1278</v>
      </c>
      <c r="G11" s="87" t="s">
        <v>1278</v>
      </c>
      <c r="H11" s="87" t="s">
        <v>1278</v>
      </c>
      <c r="I11" s="87" t="s">
        <v>1278</v>
      </c>
      <c r="J11" s="96"/>
      <c r="K11" s="96"/>
      <c r="L11" s="96"/>
      <c r="M11" s="96"/>
      <c r="N11" s="96"/>
      <c r="O11" s="96"/>
      <c r="P11" s="96"/>
      <c r="Q11" s="96"/>
      <c r="R11" s="96"/>
      <c r="S11" s="96"/>
      <c r="T11" s="87" t="s">
        <v>1276</v>
      </c>
      <c r="U11" s="87" t="s">
        <v>1276</v>
      </c>
      <c r="V11" s="87" t="s">
        <v>1276</v>
      </c>
      <c r="W11" s="96"/>
      <c r="X11" s="87" t="s">
        <v>1276</v>
      </c>
      <c r="Y11" s="87" t="s">
        <v>1276</v>
      </c>
      <c r="Z11" s="87" t="s">
        <v>1276</v>
      </c>
      <c r="AA11" s="96"/>
      <c r="AB11" s="96"/>
      <c r="AC11" s="96"/>
      <c r="AD11" s="96"/>
      <c r="AE11" s="96"/>
      <c r="AF11" s="96"/>
      <c r="AG11" s="96"/>
      <c r="AH11" s="96"/>
      <c r="AI11" s="96"/>
      <c r="AJ11" s="96"/>
    </row>
    <row r="12" spans="1:36" x14ac:dyDescent="0.25">
      <c r="A12" s="83">
        <v>7</v>
      </c>
      <c r="B12" s="83" t="s">
        <v>1283</v>
      </c>
      <c r="C12" s="84" t="s">
        <v>1275</v>
      </c>
      <c r="D12" s="84" t="s">
        <v>1275</v>
      </c>
      <c r="E12" s="96"/>
      <c r="F12" s="96"/>
      <c r="G12" s="96"/>
      <c r="H12" s="96"/>
      <c r="I12" s="96"/>
      <c r="J12" s="96"/>
      <c r="K12" s="96"/>
      <c r="L12" s="96"/>
      <c r="M12" s="96"/>
      <c r="N12" s="96"/>
      <c r="O12" s="96"/>
      <c r="P12" s="96"/>
      <c r="Q12" s="84" t="s">
        <v>1275</v>
      </c>
      <c r="R12" s="84" t="s">
        <v>1275</v>
      </c>
      <c r="S12" s="96"/>
      <c r="T12" s="96"/>
      <c r="U12" s="96"/>
      <c r="V12" s="96"/>
      <c r="W12" s="84" t="s">
        <v>1275</v>
      </c>
      <c r="X12" s="96"/>
      <c r="Y12" s="96"/>
      <c r="Z12" s="96"/>
      <c r="AA12" s="96"/>
      <c r="AB12" s="96"/>
      <c r="AC12" s="96"/>
      <c r="AD12" s="87" t="s">
        <v>1276</v>
      </c>
      <c r="AE12" s="87" t="s">
        <v>1276</v>
      </c>
      <c r="AF12" s="87" t="s">
        <v>1276</v>
      </c>
      <c r="AG12" s="87" t="s">
        <v>1276</v>
      </c>
      <c r="AH12" s="87" t="s">
        <v>1276</v>
      </c>
      <c r="AI12" s="87" t="s">
        <v>1276</v>
      </c>
      <c r="AJ12" s="87" t="s">
        <v>1276</v>
      </c>
    </row>
    <row r="13" spans="1:36" x14ac:dyDescent="0.25">
      <c r="A13" s="83">
        <v>8</v>
      </c>
      <c r="B13" s="83" t="s">
        <v>1284</v>
      </c>
      <c r="C13" s="84" t="s">
        <v>1275</v>
      </c>
      <c r="D13" s="84" t="s">
        <v>1275</v>
      </c>
      <c r="E13" s="84" t="s">
        <v>1275</v>
      </c>
      <c r="F13" s="84" t="s">
        <v>1275</v>
      </c>
      <c r="G13" s="84" t="s">
        <v>1275</v>
      </c>
      <c r="H13" s="84" t="s">
        <v>1275</v>
      </c>
      <c r="I13" s="84" t="s">
        <v>1275</v>
      </c>
      <c r="J13" s="84" t="s">
        <v>1275</v>
      </c>
      <c r="K13" s="87" t="s">
        <v>1278</v>
      </c>
      <c r="L13" s="87" t="s">
        <v>1278</v>
      </c>
      <c r="M13" s="84" t="s">
        <v>1275</v>
      </c>
      <c r="N13" s="84" t="s">
        <v>1275</v>
      </c>
      <c r="O13" s="84" t="s">
        <v>1275</v>
      </c>
      <c r="P13" s="85" t="s">
        <v>1278</v>
      </c>
      <c r="Q13" s="96"/>
      <c r="R13" s="96"/>
      <c r="S13" s="85" t="s">
        <v>1278</v>
      </c>
      <c r="T13" s="96"/>
      <c r="U13" s="96"/>
      <c r="V13" s="96"/>
      <c r="W13" s="96"/>
      <c r="X13" s="87" t="s">
        <v>1276</v>
      </c>
      <c r="Y13" s="87" t="s">
        <v>1276</v>
      </c>
      <c r="Z13" s="87" t="s">
        <v>1276</v>
      </c>
      <c r="AA13" s="87" t="s">
        <v>1276</v>
      </c>
      <c r="AB13" s="87" t="s">
        <v>1276</v>
      </c>
      <c r="AC13" s="87" t="s">
        <v>1276</v>
      </c>
      <c r="AD13" s="96"/>
      <c r="AE13" s="96"/>
      <c r="AF13" s="96"/>
      <c r="AG13" s="96"/>
      <c r="AH13" s="96"/>
      <c r="AI13" s="96"/>
      <c r="AJ13" s="96"/>
    </row>
    <row r="14" spans="1:36" x14ac:dyDescent="0.25">
      <c r="A14" s="83">
        <v>9</v>
      </c>
      <c r="B14" s="83" t="s">
        <v>1285</v>
      </c>
      <c r="C14" s="84" t="s">
        <v>1275</v>
      </c>
      <c r="D14" s="84" t="s">
        <v>1275</v>
      </c>
      <c r="E14" s="84" t="s">
        <v>1275</v>
      </c>
      <c r="F14" s="84" t="s">
        <v>1275</v>
      </c>
      <c r="G14" s="87" t="s">
        <v>1278</v>
      </c>
      <c r="H14" s="84" t="s">
        <v>1275</v>
      </c>
      <c r="I14" s="84" t="s">
        <v>1275</v>
      </c>
      <c r="J14" s="84" t="s">
        <v>1275</v>
      </c>
      <c r="K14" s="87" t="s">
        <v>1278</v>
      </c>
      <c r="L14" s="87" t="s">
        <v>1278</v>
      </c>
      <c r="M14" s="84" t="s">
        <v>1275</v>
      </c>
      <c r="N14" s="84" t="s">
        <v>1275</v>
      </c>
      <c r="O14" s="84" t="s">
        <v>1275</v>
      </c>
      <c r="P14" s="85" t="s">
        <v>1278</v>
      </c>
      <c r="Q14" s="96"/>
      <c r="R14" s="96"/>
      <c r="S14" s="85" t="s">
        <v>1278</v>
      </c>
      <c r="T14" s="96"/>
      <c r="U14" s="96"/>
      <c r="V14" s="96"/>
      <c r="W14" s="96"/>
      <c r="X14" s="87" t="s">
        <v>1276</v>
      </c>
      <c r="Y14" s="87" t="s">
        <v>1276</v>
      </c>
      <c r="Z14" s="87" t="s">
        <v>1276</v>
      </c>
      <c r="AA14" s="87" t="s">
        <v>1276</v>
      </c>
      <c r="AB14" s="87" t="s">
        <v>1276</v>
      </c>
      <c r="AC14" s="87" t="s">
        <v>1276</v>
      </c>
      <c r="AD14" s="96"/>
      <c r="AE14" s="96"/>
      <c r="AF14" s="96"/>
      <c r="AG14" s="96"/>
      <c r="AH14" s="96"/>
      <c r="AI14" s="96"/>
      <c r="AJ14" s="96"/>
    </row>
    <row r="16" spans="1:36" x14ac:dyDescent="0.25">
      <c r="A16" s="350" t="s">
        <v>1233</v>
      </c>
      <c r="B16" s="350"/>
      <c r="C16" s="350"/>
      <c r="D16" s="350"/>
      <c r="E16" s="350"/>
      <c r="F16" s="350"/>
      <c r="G16" s="350"/>
      <c r="H16" s="350"/>
      <c r="I16" s="350"/>
      <c r="J16" s="350"/>
      <c r="K16" s="350"/>
      <c r="L16" s="350"/>
      <c r="M16" s="350"/>
      <c r="N16" s="350"/>
      <c r="O16" s="350"/>
      <c r="P16" s="350"/>
      <c r="Q16" s="350"/>
      <c r="R16" s="350"/>
    </row>
    <row r="17" spans="1:18" ht="15" customHeight="1" x14ac:dyDescent="0.25">
      <c r="A17" s="93" t="s">
        <v>1275</v>
      </c>
      <c r="B17" s="351" t="s">
        <v>1286</v>
      </c>
      <c r="C17" s="351"/>
      <c r="D17" s="351"/>
      <c r="E17" s="351"/>
      <c r="F17" s="351"/>
      <c r="G17" s="351"/>
      <c r="H17" s="351"/>
      <c r="I17" s="351"/>
      <c r="J17" s="351"/>
      <c r="K17" s="351"/>
      <c r="L17" s="351"/>
      <c r="M17" s="351"/>
      <c r="N17" s="351"/>
      <c r="O17" s="351"/>
      <c r="P17" s="351"/>
      <c r="Q17" s="351"/>
      <c r="R17" s="351"/>
    </row>
    <row r="18" spans="1:18" ht="15" customHeight="1" x14ac:dyDescent="0.25">
      <c r="A18" s="99" t="s">
        <v>1278</v>
      </c>
      <c r="B18" s="351" t="s">
        <v>1287</v>
      </c>
      <c r="C18" s="351"/>
      <c r="D18" s="351"/>
      <c r="E18" s="351"/>
      <c r="F18" s="351"/>
      <c r="G18" s="351"/>
      <c r="H18" s="351"/>
      <c r="I18" s="351"/>
      <c r="J18" s="351"/>
      <c r="K18" s="351"/>
      <c r="L18" s="351"/>
      <c r="M18" s="351"/>
      <c r="N18" s="351"/>
      <c r="O18" s="351"/>
      <c r="P18" s="351"/>
      <c r="Q18" s="351"/>
      <c r="R18" s="351"/>
    </row>
    <row r="19" spans="1:18" ht="15" customHeight="1" x14ac:dyDescent="0.25">
      <c r="A19" s="94" t="s">
        <v>1278</v>
      </c>
      <c r="B19" s="352" t="s">
        <v>1288</v>
      </c>
      <c r="C19" s="353"/>
      <c r="D19" s="353"/>
      <c r="E19" s="353"/>
      <c r="F19" s="353"/>
      <c r="G19" s="353"/>
      <c r="H19" s="353"/>
      <c r="I19" s="353"/>
      <c r="J19" s="353"/>
      <c r="K19" s="353"/>
      <c r="L19" s="353"/>
      <c r="M19" s="353"/>
      <c r="N19" s="353"/>
      <c r="O19" s="353"/>
      <c r="P19" s="353"/>
      <c r="Q19" s="353"/>
      <c r="R19" s="354"/>
    </row>
    <row r="21" spans="1:18" x14ac:dyDescent="0.25">
      <c r="A21" s="95" t="s">
        <v>2</v>
      </c>
      <c r="B21" s="96" t="s">
        <v>1289</v>
      </c>
      <c r="C21" s="355" t="s">
        <v>1290</v>
      </c>
      <c r="D21" s="355"/>
      <c r="E21" s="355"/>
      <c r="F21" s="355"/>
      <c r="G21" s="355"/>
      <c r="H21" s="355"/>
      <c r="I21" s="355"/>
      <c r="J21" s="355" t="s">
        <v>1291</v>
      </c>
      <c r="K21" s="355"/>
      <c r="L21" s="355"/>
      <c r="M21" s="355"/>
      <c r="N21" s="355"/>
      <c r="O21" s="355"/>
      <c r="P21" s="355"/>
      <c r="Q21" s="355"/>
      <c r="R21" s="355"/>
    </row>
    <row r="22" spans="1:18" s="98" customFormat="1" ht="49.5" customHeight="1" x14ac:dyDescent="0.2">
      <c r="A22" s="95">
        <v>1</v>
      </c>
      <c r="B22" s="97" t="s">
        <v>1241</v>
      </c>
      <c r="C22" s="349" t="s">
        <v>476</v>
      </c>
      <c r="D22" s="349"/>
      <c r="E22" s="349"/>
      <c r="F22" s="349"/>
      <c r="G22" s="349"/>
      <c r="H22" s="349"/>
      <c r="I22" s="349"/>
      <c r="J22" s="349" t="s">
        <v>1292</v>
      </c>
      <c r="K22" s="349"/>
      <c r="L22" s="349"/>
      <c r="M22" s="349"/>
      <c r="N22" s="349"/>
      <c r="O22" s="349"/>
      <c r="P22" s="349"/>
      <c r="Q22" s="349"/>
      <c r="R22" s="349"/>
    </row>
    <row r="23" spans="1:18" s="98" customFormat="1" ht="183" customHeight="1" x14ac:dyDescent="0.2">
      <c r="A23" s="95">
        <v>2</v>
      </c>
      <c r="B23" s="97" t="s">
        <v>1240</v>
      </c>
      <c r="C23" s="349" t="s">
        <v>1293</v>
      </c>
      <c r="D23" s="349"/>
      <c r="E23" s="349"/>
      <c r="F23" s="349"/>
      <c r="G23" s="349"/>
      <c r="H23" s="349"/>
      <c r="I23" s="349"/>
      <c r="J23" s="349" t="s">
        <v>1294</v>
      </c>
      <c r="K23" s="349"/>
      <c r="L23" s="349"/>
      <c r="M23" s="349"/>
      <c r="N23" s="349"/>
      <c r="O23" s="349"/>
      <c r="P23" s="349"/>
      <c r="Q23" s="349"/>
      <c r="R23" s="349"/>
    </row>
    <row r="24" spans="1:18" s="98" customFormat="1" ht="66" customHeight="1" x14ac:dyDescent="0.2">
      <c r="A24" s="95">
        <v>3</v>
      </c>
      <c r="B24" s="97" t="s">
        <v>1242</v>
      </c>
      <c r="C24" s="349" t="s">
        <v>1295</v>
      </c>
      <c r="D24" s="349"/>
      <c r="E24" s="349"/>
      <c r="F24" s="349"/>
      <c r="G24" s="349"/>
      <c r="H24" s="349"/>
      <c r="I24" s="349"/>
      <c r="J24" s="349" t="s">
        <v>1296</v>
      </c>
      <c r="K24" s="349"/>
      <c r="L24" s="349"/>
      <c r="M24" s="349"/>
      <c r="N24" s="349"/>
      <c r="O24" s="349"/>
      <c r="P24" s="349"/>
      <c r="Q24" s="349"/>
      <c r="R24" s="349"/>
    </row>
    <row r="25" spans="1:18" s="98" customFormat="1" ht="44.25" customHeight="1" x14ac:dyDescent="0.2">
      <c r="A25" s="95">
        <v>4</v>
      </c>
      <c r="B25" s="97" t="s">
        <v>1243</v>
      </c>
      <c r="C25" s="349" t="s">
        <v>1297</v>
      </c>
      <c r="D25" s="349"/>
      <c r="E25" s="349"/>
      <c r="F25" s="349"/>
      <c r="G25" s="349"/>
      <c r="H25" s="349"/>
      <c r="I25" s="349"/>
      <c r="J25" s="349"/>
      <c r="K25" s="349"/>
      <c r="L25" s="349"/>
      <c r="M25" s="349"/>
      <c r="N25" s="349"/>
      <c r="O25" s="349"/>
      <c r="P25" s="349"/>
      <c r="Q25" s="349"/>
      <c r="R25" s="349"/>
    </row>
    <row r="26" spans="1:18" s="98" customFormat="1" ht="33.75" customHeight="1" x14ac:dyDescent="0.2">
      <c r="A26" s="95">
        <v>5</v>
      </c>
      <c r="B26" s="97" t="s">
        <v>1244</v>
      </c>
      <c r="C26" s="349" t="s">
        <v>1298</v>
      </c>
      <c r="D26" s="349"/>
      <c r="E26" s="349"/>
      <c r="F26" s="349"/>
      <c r="G26" s="349"/>
      <c r="H26" s="349"/>
      <c r="I26" s="349"/>
      <c r="J26" s="349"/>
      <c r="K26" s="349"/>
      <c r="L26" s="349"/>
      <c r="M26" s="349"/>
      <c r="N26" s="349"/>
      <c r="O26" s="349"/>
      <c r="P26" s="349"/>
      <c r="Q26" s="349"/>
      <c r="R26" s="349"/>
    </row>
    <row r="27" spans="1:18" s="98" customFormat="1" ht="22.5" customHeight="1" x14ac:dyDescent="0.2">
      <c r="A27" s="95">
        <v>6</v>
      </c>
      <c r="B27" s="97" t="s">
        <v>1245</v>
      </c>
      <c r="C27" s="349" t="s">
        <v>1299</v>
      </c>
      <c r="D27" s="349"/>
      <c r="E27" s="349"/>
      <c r="F27" s="349"/>
      <c r="G27" s="349"/>
      <c r="H27" s="349"/>
      <c r="I27" s="349"/>
      <c r="J27" s="349"/>
      <c r="K27" s="349"/>
      <c r="L27" s="349"/>
      <c r="M27" s="349"/>
      <c r="N27" s="349"/>
      <c r="O27" s="349"/>
      <c r="P27" s="349"/>
      <c r="Q27" s="349"/>
      <c r="R27" s="349"/>
    </row>
    <row r="28" spans="1:18" s="98" customFormat="1" ht="27.75" customHeight="1" x14ac:dyDescent="0.2">
      <c r="A28" s="95">
        <v>7</v>
      </c>
      <c r="B28" s="97" t="s">
        <v>1246</v>
      </c>
      <c r="C28" s="349" t="s">
        <v>1300</v>
      </c>
      <c r="D28" s="349"/>
      <c r="E28" s="349"/>
      <c r="F28" s="349"/>
      <c r="G28" s="349"/>
      <c r="H28" s="349"/>
      <c r="I28" s="349"/>
      <c r="J28" s="349"/>
      <c r="K28" s="349"/>
      <c r="L28" s="349"/>
      <c r="M28" s="349"/>
      <c r="N28" s="349"/>
      <c r="O28" s="349"/>
      <c r="P28" s="349"/>
      <c r="Q28" s="349"/>
      <c r="R28" s="349"/>
    </row>
    <row r="29" spans="1:18" s="98" customFormat="1" ht="93.75" customHeight="1" x14ac:dyDescent="0.2">
      <c r="A29" s="95">
        <v>8</v>
      </c>
      <c r="B29" s="97" t="s">
        <v>1247</v>
      </c>
      <c r="C29" s="349" t="s">
        <v>1301</v>
      </c>
      <c r="D29" s="349"/>
      <c r="E29" s="349"/>
      <c r="F29" s="349"/>
      <c r="G29" s="349"/>
      <c r="H29" s="349"/>
      <c r="I29" s="349"/>
      <c r="J29" s="349" t="s">
        <v>1302</v>
      </c>
      <c r="K29" s="349"/>
      <c r="L29" s="349"/>
      <c r="M29" s="349"/>
      <c r="N29" s="349"/>
      <c r="O29" s="349"/>
      <c r="P29" s="349"/>
      <c r="Q29" s="349"/>
      <c r="R29" s="349"/>
    </row>
    <row r="30" spans="1:18" s="98" customFormat="1" ht="30.75" customHeight="1" x14ac:dyDescent="0.2">
      <c r="A30" s="95">
        <v>9</v>
      </c>
      <c r="B30" s="97" t="s">
        <v>1248</v>
      </c>
      <c r="C30" s="349" t="s">
        <v>1303</v>
      </c>
      <c r="D30" s="349"/>
      <c r="E30" s="349"/>
      <c r="F30" s="349"/>
      <c r="G30" s="349"/>
      <c r="H30" s="349"/>
      <c r="I30" s="349"/>
      <c r="J30" s="349"/>
      <c r="K30" s="349"/>
      <c r="L30" s="349"/>
      <c r="M30" s="349"/>
      <c r="N30" s="349"/>
      <c r="O30" s="349"/>
      <c r="P30" s="349"/>
      <c r="Q30" s="349"/>
      <c r="R30" s="349"/>
    </row>
    <row r="31" spans="1:18" s="98" customFormat="1" ht="33.75" customHeight="1" x14ac:dyDescent="0.2">
      <c r="A31" s="95">
        <v>10</v>
      </c>
      <c r="B31" s="97" t="s">
        <v>1249</v>
      </c>
      <c r="C31" s="349" t="s">
        <v>1304</v>
      </c>
      <c r="D31" s="349"/>
      <c r="E31" s="349"/>
      <c r="F31" s="349"/>
      <c r="G31" s="349"/>
      <c r="H31" s="349"/>
      <c r="I31" s="349"/>
      <c r="J31" s="349"/>
      <c r="K31" s="349"/>
      <c r="L31" s="349"/>
      <c r="M31" s="349"/>
      <c r="N31" s="349"/>
      <c r="O31" s="349"/>
      <c r="P31" s="349"/>
      <c r="Q31" s="349"/>
      <c r="R31" s="349"/>
    </row>
    <row r="32" spans="1:18" s="98" customFormat="1" ht="25.5" customHeight="1" x14ac:dyDescent="0.2">
      <c r="A32" s="95">
        <v>11</v>
      </c>
      <c r="B32" s="97" t="s">
        <v>1250</v>
      </c>
      <c r="C32" s="349" t="s">
        <v>1305</v>
      </c>
      <c r="D32" s="349"/>
      <c r="E32" s="349"/>
      <c r="F32" s="349"/>
      <c r="G32" s="349"/>
      <c r="H32" s="349"/>
      <c r="I32" s="349"/>
      <c r="J32" s="349"/>
      <c r="K32" s="349"/>
      <c r="L32" s="349"/>
      <c r="M32" s="349"/>
      <c r="N32" s="349"/>
      <c r="O32" s="349"/>
      <c r="P32" s="349"/>
      <c r="Q32" s="349"/>
      <c r="R32" s="349"/>
    </row>
    <row r="33" spans="1:18" ht="28.5" customHeight="1" x14ac:dyDescent="0.25">
      <c r="A33" s="95">
        <v>12</v>
      </c>
      <c r="B33" s="97" t="s">
        <v>1251</v>
      </c>
      <c r="C33" s="349" t="s">
        <v>1306</v>
      </c>
      <c r="D33" s="349"/>
      <c r="E33" s="349"/>
      <c r="F33" s="349"/>
      <c r="G33" s="349"/>
      <c r="H33" s="349"/>
      <c r="I33" s="349"/>
      <c r="J33" s="349"/>
      <c r="K33" s="349"/>
      <c r="L33" s="349"/>
      <c r="M33" s="349"/>
      <c r="N33" s="349"/>
      <c r="O33" s="349"/>
      <c r="P33" s="349"/>
      <c r="Q33" s="349"/>
      <c r="R33" s="349"/>
    </row>
    <row r="34" spans="1:18" x14ac:dyDescent="0.25">
      <c r="A34" s="95">
        <v>13</v>
      </c>
      <c r="B34" s="97" t="s">
        <v>1307</v>
      </c>
      <c r="C34" s="349" t="s">
        <v>510</v>
      </c>
      <c r="D34" s="349"/>
      <c r="E34" s="349"/>
      <c r="F34" s="349"/>
      <c r="G34" s="349"/>
      <c r="H34" s="349"/>
      <c r="I34" s="349"/>
      <c r="J34" s="348" t="s">
        <v>1308</v>
      </c>
      <c r="K34" s="349"/>
      <c r="L34" s="349"/>
      <c r="M34" s="349"/>
      <c r="N34" s="349"/>
      <c r="O34" s="349"/>
      <c r="P34" s="349"/>
      <c r="Q34" s="349"/>
      <c r="R34" s="349"/>
    </row>
    <row r="35" spans="1:18" ht="41.25" customHeight="1" x14ac:dyDescent="0.25">
      <c r="A35" s="95">
        <v>14</v>
      </c>
      <c r="B35" s="97" t="s">
        <v>1254</v>
      </c>
      <c r="C35" s="349" t="s">
        <v>1309</v>
      </c>
      <c r="D35" s="349"/>
      <c r="E35" s="349"/>
      <c r="F35" s="349"/>
      <c r="G35" s="349"/>
      <c r="H35" s="349"/>
      <c r="I35" s="349"/>
      <c r="J35" s="349" t="s">
        <v>1310</v>
      </c>
      <c r="K35" s="349"/>
      <c r="L35" s="349"/>
      <c r="M35" s="349"/>
      <c r="N35" s="349"/>
      <c r="O35" s="349"/>
      <c r="P35" s="349"/>
      <c r="Q35" s="349"/>
      <c r="R35" s="349"/>
    </row>
    <row r="36" spans="1:18" ht="36.75" customHeight="1" x14ac:dyDescent="0.25">
      <c r="A36" s="95">
        <v>15</v>
      </c>
      <c r="B36" s="97" t="s">
        <v>1255</v>
      </c>
      <c r="C36" s="349" t="s">
        <v>1311</v>
      </c>
      <c r="D36" s="349"/>
      <c r="E36" s="349"/>
      <c r="F36" s="349"/>
      <c r="G36" s="349"/>
      <c r="H36" s="349"/>
      <c r="I36" s="349"/>
      <c r="J36" s="349" t="s">
        <v>1312</v>
      </c>
      <c r="K36" s="349"/>
      <c r="L36" s="349"/>
      <c r="M36" s="349"/>
      <c r="N36" s="349"/>
      <c r="O36" s="349"/>
      <c r="P36" s="349"/>
      <c r="Q36" s="349"/>
      <c r="R36" s="349"/>
    </row>
    <row r="37" spans="1:18" ht="85.5" customHeight="1" x14ac:dyDescent="0.25">
      <c r="A37" s="95">
        <v>16</v>
      </c>
      <c r="B37" s="97" t="s">
        <v>1256</v>
      </c>
      <c r="C37" s="349" t="s">
        <v>1300</v>
      </c>
      <c r="D37" s="349"/>
      <c r="E37" s="349"/>
      <c r="F37" s="349"/>
      <c r="G37" s="349"/>
      <c r="H37" s="349"/>
      <c r="I37" s="349"/>
      <c r="J37" s="348" t="s">
        <v>1313</v>
      </c>
      <c r="K37" s="349"/>
      <c r="L37" s="349"/>
      <c r="M37" s="349"/>
      <c r="N37" s="349"/>
      <c r="O37" s="349"/>
      <c r="P37" s="349"/>
      <c r="Q37" s="349"/>
      <c r="R37" s="349"/>
    </row>
    <row r="38" spans="1:18" x14ac:dyDescent="0.25">
      <c r="A38" s="95">
        <v>17</v>
      </c>
      <c r="B38" s="97" t="s">
        <v>1257</v>
      </c>
      <c r="C38" s="348" t="s">
        <v>520</v>
      </c>
      <c r="D38" s="349"/>
      <c r="E38" s="349"/>
      <c r="F38" s="349"/>
      <c r="G38" s="349"/>
      <c r="H38" s="349"/>
      <c r="I38" s="349"/>
      <c r="J38" s="348" t="s">
        <v>522</v>
      </c>
      <c r="K38" s="349"/>
      <c r="L38" s="349"/>
      <c r="M38" s="349"/>
      <c r="N38" s="349"/>
      <c r="O38" s="349"/>
      <c r="P38" s="349"/>
      <c r="Q38" s="349"/>
      <c r="R38" s="349"/>
    </row>
    <row r="39" spans="1:18" x14ac:dyDescent="0.25">
      <c r="A39" s="95">
        <v>18</v>
      </c>
      <c r="B39" s="97" t="s">
        <v>1258</v>
      </c>
      <c r="C39" s="348" t="s">
        <v>1314</v>
      </c>
      <c r="D39" s="349"/>
      <c r="E39" s="349"/>
      <c r="F39" s="349"/>
      <c r="G39" s="349"/>
      <c r="H39" s="349"/>
      <c r="I39" s="349"/>
      <c r="J39" s="348" t="s">
        <v>1315</v>
      </c>
      <c r="K39" s="349"/>
      <c r="L39" s="349"/>
      <c r="M39" s="349"/>
      <c r="N39" s="349"/>
      <c r="O39" s="349"/>
      <c r="P39" s="349"/>
      <c r="Q39" s="349"/>
      <c r="R39" s="349"/>
    </row>
    <row r="40" spans="1:18" x14ac:dyDescent="0.25">
      <c r="A40" s="95">
        <v>19</v>
      </c>
      <c r="B40" s="97" t="s">
        <v>1259</v>
      </c>
      <c r="C40" s="348" t="s">
        <v>1316</v>
      </c>
      <c r="D40" s="349"/>
      <c r="E40" s="349"/>
      <c r="F40" s="349"/>
      <c r="G40" s="349"/>
      <c r="H40" s="349"/>
      <c r="I40" s="349"/>
      <c r="J40" s="349"/>
      <c r="K40" s="349"/>
      <c r="L40" s="349"/>
      <c r="M40" s="349"/>
      <c r="N40" s="349"/>
      <c r="O40" s="349"/>
      <c r="P40" s="349"/>
      <c r="Q40" s="349"/>
      <c r="R40" s="349"/>
    </row>
    <row r="41" spans="1:18" ht="53.25" customHeight="1" x14ac:dyDescent="0.25">
      <c r="A41" s="95">
        <v>20</v>
      </c>
      <c r="B41" s="97" t="s">
        <v>1260</v>
      </c>
      <c r="C41" s="348" t="s">
        <v>531</v>
      </c>
      <c r="D41" s="349"/>
      <c r="E41" s="349"/>
      <c r="F41" s="349"/>
      <c r="G41" s="349"/>
      <c r="H41" s="349"/>
      <c r="I41" s="349"/>
      <c r="J41" s="348" t="s">
        <v>533</v>
      </c>
      <c r="K41" s="349"/>
      <c r="L41" s="349"/>
      <c r="M41" s="349"/>
      <c r="N41" s="349"/>
      <c r="O41" s="349"/>
      <c r="P41" s="349"/>
      <c r="Q41" s="349"/>
      <c r="R41" s="349"/>
    </row>
    <row r="42" spans="1:18" x14ac:dyDescent="0.25">
      <c r="A42" s="95">
        <v>21</v>
      </c>
      <c r="B42" s="97" t="s">
        <v>1261</v>
      </c>
      <c r="C42" s="348" t="s">
        <v>534</v>
      </c>
      <c r="D42" s="349"/>
      <c r="E42" s="349"/>
      <c r="F42" s="349"/>
      <c r="G42" s="349"/>
      <c r="H42" s="349"/>
      <c r="I42" s="349"/>
      <c r="J42" s="348" t="s">
        <v>536</v>
      </c>
      <c r="K42" s="349"/>
      <c r="L42" s="349"/>
      <c r="M42" s="349"/>
      <c r="N42" s="349"/>
      <c r="O42" s="349"/>
      <c r="P42" s="349"/>
      <c r="Q42" s="349"/>
      <c r="R42" s="349"/>
    </row>
    <row r="43" spans="1:18" ht="31.5" customHeight="1" x14ac:dyDescent="0.25">
      <c r="A43" s="95">
        <v>22</v>
      </c>
      <c r="B43" s="97" t="s">
        <v>1262</v>
      </c>
      <c r="C43" s="348" t="s">
        <v>537</v>
      </c>
      <c r="D43" s="349"/>
      <c r="E43" s="349"/>
      <c r="F43" s="349"/>
      <c r="G43" s="349"/>
      <c r="H43" s="349"/>
      <c r="I43" s="349"/>
      <c r="J43" s="348" t="s">
        <v>1317</v>
      </c>
      <c r="K43" s="349"/>
      <c r="L43" s="349"/>
      <c r="M43" s="349"/>
      <c r="N43" s="349"/>
      <c r="O43" s="349"/>
      <c r="P43" s="349"/>
      <c r="Q43" s="349"/>
      <c r="R43" s="349"/>
    </row>
    <row r="44" spans="1:18" x14ac:dyDescent="0.25">
      <c r="A44" s="95">
        <v>23</v>
      </c>
      <c r="B44" s="97" t="s">
        <v>1263</v>
      </c>
      <c r="C44" s="348" t="s">
        <v>540</v>
      </c>
      <c r="D44" s="349"/>
      <c r="E44" s="349"/>
      <c r="F44" s="349"/>
      <c r="G44" s="349"/>
      <c r="H44" s="349"/>
      <c r="I44" s="349"/>
      <c r="J44" s="348" t="s">
        <v>1318</v>
      </c>
      <c r="K44" s="349"/>
      <c r="L44" s="349"/>
      <c r="M44" s="349"/>
      <c r="N44" s="349"/>
      <c r="O44" s="349"/>
      <c r="P44" s="349"/>
      <c r="Q44" s="349"/>
      <c r="R44" s="349"/>
    </row>
    <row r="45" spans="1:18" ht="30.75" customHeight="1" x14ac:dyDescent="0.25">
      <c r="A45" s="95">
        <v>24</v>
      </c>
      <c r="B45" s="97" t="s">
        <v>1264</v>
      </c>
      <c r="C45" s="348" t="s">
        <v>543</v>
      </c>
      <c r="D45" s="349"/>
      <c r="E45" s="349"/>
      <c r="F45" s="349"/>
      <c r="G45" s="349"/>
      <c r="H45" s="349"/>
      <c r="I45" s="349"/>
      <c r="J45" s="348" t="s">
        <v>545</v>
      </c>
      <c r="K45" s="349"/>
      <c r="L45" s="349"/>
      <c r="M45" s="349"/>
      <c r="N45" s="349"/>
      <c r="O45" s="349"/>
      <c r="P45" s="349"/>
      <c r="Q45" s="349"/>
      <c r="R45" s="349"/>
    </row>
    <row r="46" spans="1:18" ht="30.75" customHeight="1" x14ac:dyDescent="0.25">
      <c r="A46" s="95">
        <v>25</v>
      </c>
      <c r="B46" s="97" t="s">
        <v>1265</v>
      </c>
      <c r="C46" s="348" t="s">
        <v>546</v>
      </c>
      <c r="D46" s="349"/>
      <c r="E46" s="349"/>
      <c r="F46" s="349"/>
      <c r="G46" s="349"/>
      <c r="H46" s="349"/>
      <c r="I46" s="349"/>
      <c r="J46" s="348" t="s">
        <v>557</v>
      </c>
      <c r="K46" s="349"/>
      <c r="L46" s="349"/>
      <c r="M46" s="349"/>
      <c r="N46" s="349"/>
      <c r="O46" s="349"/>
      <c r="P46" s="349"/>
      <c r="Q46" s="349"/>
      <c r="R46" s="349"/>
    </row>
    <row r="47" spans="1:18" ht="32.25" customHeight="1" x14ac:dyDescent="0.25">
      <c r="A47" s="95">
        <v>26</v>
      </c>
      <c r="B47" s="97" t="s">
        <v>1266</v>
      </c>
      <c r="C47" s="348" t="s">
        <v>549</v>
      </c>
      <c r="D47" s="349"/>
      <c r="E47" s="349"/>
      <c r="F47" s="349"/>
      <c r="G47" s="349"/>
      <c r="H47" s="349"/>
      <c r="I47" s="349"/>
      <c r="J47" s="348" t="s">
        <v>551</v>
      </c>
      <c r="K47" s="349"/>
      <c r="L47" s="349"/>
      <c r="M47" s="349"/>
      <c r="N47" s="349"/>
      <c r="O47" s="349"/>
      <c r="P47" s="349"/>
      <c r="Q47" s="349"/>
      <c r="R47" s="349"/>
    </row>
    <row r="48" spans="1:18" ht="30.75" customHeight="1" x14ac:dyDescent="0.25">
      <c r="A48" s="95">
        <v>27</v>
      </c>
      <c r="B48" s="97" t="s">
        <v>1267</v>
      </c>
      <c r="C48" s="348" t="s">
        <v>1319</v>
      </c>
      <c r="D48" s="349"/>
      <c r="E48" s="349"/>
      <c r="F48" s="349"/>
      <c r="G48" s="349"/>
      <c r="H48" s="349"/>
      <c r="I48" s="349"/>
      <c r="J48" s="348" t="s">
        <v>554</v>
      </c>
      <c r="K48" s="349"/>
      <c r="L48" s="349"/>
      <c r="M48" s="349"/>
      <c r="N48" s="349"/>
      <c r="O48" s="349"/>
      <c r="P48" s="349"/>
      <c r="Q48" s="349"/>
      <c r="R48" s="349"/>
    </row>
    <row r="49" spans="1:18" ht="37.5" customHeight="1" x14ac:dyDescent="0.25">
      <c r="A49" s="95">
        <v>28</v>
      </c>
      <c r="B49" s="97" t="s">
        <v>1268</v>
      </c>
      <c r="C49" s="348" t="s">
        <v>797</v>
      </c>
      <c r="D49" s="349"/>
      <c r="E49" s="349"/>
      <c r="F49" s="349"/>
      <c r="G49" s="349"/>
      <c r="H49" s="349"/>
      <c r="I49" s="349"/>
      <c r="J49" s="348" t="s">
        <v>557</v>
      </c>
      <c r="K49" s="349"/>
      <c r="L49" s="349"/>
      <c r="M49" s="349"/>
      <c r="N49" s="349"/>
      <c r="O49" s="349"/>
      <c r="P49" s="349"/>
      <c r="Q49" s="349"/>
      <c r="R49" s="349"/>
    </row>
    <row r="50" spans="1:18" ht="29.25" customHeight="1" x14ac:dyDescent="0.25">
      <c r="A50" s="95">
        <v>29</v>
      </c>
      <c r="B50" s="97" t="s">
        <v>1269</v>
      </c>
      <c r="C50" s="348" t="s">
        <v>549</v>
      </c>
      <c r="D50" s="349"/>
      <c r="E50" s="349"/>
      <c r="F50" s="349"/>
      <c r="G50" s="349"/>
      <c r="H50" s="349"/>
      <c r="I50" s="349"/>
      <c r="J50" s="348" t="s">
        <v>551</v>
      </c>
      <c r="K50" s="349"/>
      <c r="L50" s="349"/>
      <c r="M50" s="349"/>
      <c r="N50" s="349"/>
      <c r="O50" s="349"/>
      <c r="P50" s="349"/>
      <c r="Q50" s="349"/>
      <c r="R50" s="349"/>
    </row>
  </sheetData>
  <mergeCells count="64">
    <mergeCell ref="A16:R16"/>
    <mergeCell ref="B17:R17"/>
    <mergeCell ref="B18:R18"/>
    <mergeCell ref="B19:R19"/>
    <mergeCell ref="C21:I21"/>
    <mergeCell ref="J21:R21"/>
    <mergeCell ref="C22:I22"/>
    <mergeCell ref="J22:R22"/>
    <mergeCell ref="C23:I23"/>
    <mergeCell ref="J23:R23"/>
    <mergeCell ref="C24:I24"/>
    <mergeCell ref="J24:R24"/>
    <mergeCell ref="C25:I25"/>
    <mergeCell ref="J25:R25"/>
    <mergeCell ref="C26:I26"/>
    <mergeCell ref="J26:R26"/>
    <mergeCell ref="C27:I27"/>
    <mergeCell ref="J27:R27"/>
    <mergeCell ref="C28:I28"/>
    <mergeCell ref="J28:R28"/>
    <mergeCell ref="C29:I29"/>
    <mergeCell ref="J29:R29"/>
    <mergeCell ref="C30:I30"/>
    <mergeCell ref="J30:R30"/>
    <mergeCell ref="C31:I31"/>
    <mergeCell ref="J31:R31"/>
    <mergeCell ref="C32:I32"/>
    <mergeCell ref="J32:R32"/>
    <mergeCell ref="C33:I33"/>
    <mergeCell ref="J33:R33"/>
    <mergeCell ref="C34:I34"/>
    <mergeCell ref="J34:R34"/>
    <mergeCell ref="C35:I35"/>
    <mergeCell ref="J35:R35"/>
    <mergeCell ref="C36:I36"/>
    <mergeCell ref="J36:R36"/>
    <mergeCell ref="C37:I37"/>
    <mergeCell ref="C38:I38"/>
    <mergeCell ref="C39:I39"/>
    <mergeCell ref="C40:I40"/>
    <mergeCell ref="C41:I41"/>
    <mergeCell ref="C42:I42"/>
    <mergeCell ref="C43:I43"/>
    <mergeCell ref="C44:I44"/>
    <mergeCell ref="C45:I45"/>
    <mergeCell ref="C46:I46"/>
    <mergeCell ref="J42:R42"/>
    <mergeCell ref="J43:R43"/>
    <mergeCell ref="J44:R44"/>
    <mergeCell ref="J45:R45"/>
    <mergeCell ref="J46:R46"/>
    <mergeCell ref="J37:R37"/>
    <mergeCell ref="J38:R38"/>
    <mergeCell ref="J39:R39"/>
    <mergeCell ref="J40:R40"/>
    <mergeCell ref="J41:R41"/>
    <mergeCell ref="J49:R49"/>
    <mergeCell ref="J50:R50"/>
    <mergeCell ref="C47:I47"/>
    <mergeCell ref="C48:I48"/>
    <mergeCell ref="C49:I49"/>
    <mergeCell ref="C50:I50"/>
    <mergeCell ref="J47:R47"/>
    <mergeCell ref="J48:R48"/>
  </mergeCells>
  <pageMargins left="0.511811024" right="0.511811024" top="0.78740157499999996" bottom="0.78740157499999996" header="0.31496062000000002" footer="0.31496062000000002"/>
  <pageSetup paperSize="9" orientation="portrait" r:id="rId1"/>
  <headerFooter>
    <oddHeader>&amp;L&amp;"Calibri"&amp;10&amp;K000000 General Business&amp;1#_x000D_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0"/>
  <sheetViews>
    <sheetView workbookViewId="0">
      <selection activeCell="B7" sqref="B7"/>
    </sheetView>
  </sheetViews>
  <sheetFormatPr defaultColWidth="9.140625" defaultRowHeight="15" x14ac:dyDescent="0.25"/>
  <cols>
    <col min="1" max="1" width="7.140625" style="80" customWidth="1"/>
    <col min="2" max="2" width="13.28515625" style="80" bestFit="1" customWidth="1"/>
    <col min="3" max="3" width="13.42578125" style="80" bestFit="1" customWidth="1"/>
    <col min="4" max="4" width="13" style="80" customWidth="1"/>
    <col min="5" max="6" width="12.42578125" style="80" bestFit="1" customWidth="1"/>
    <col min="7" max="7" width="9.28515625" style="80" bestFit="1" customWidth="1"/>
    <col min="8" max="8" width="8.5703125" style="80" bestFit="1" customWidth="1"/>
    <col min="9" max="9" width="9.85546875" style="80" bestFit="1" customWidth="1"/>
    <col min="10" max="10" width="6.28515625" style="80" bestFit="1" customWidth="1"/>
    <col min="11" max="11" width="8.7109375" style="80" bestFit="1" customWidth="1"/>
    <col min="12" max="12" width="8.5703125" style="80" bestFit="1" customWidth="1"/>
    <col min="13" max="13" width="12.42578125" style="80" bestFit="1" customWidth="1"/>
    <col min="14" max="14" width="9.28515625" style="80" bestFit="1" customWidth="1"/>
    <col min="15" max="15" width="11.5703125" style="80" bestFit="1" customWidth="1"/>
    <col min="16" max="16384" width="9.140625" style="80"/>
  </cols>
  <sheetData>
    <row r="1" spans="1:15" ht="23.25" x14ac:dyDescent="0.35">
      <c r="A1" s="79" t="s">
        <v>1238</v>
      </c>
    </row>
    <row r="2" spans="1:15" ht="7.5" customHeight="1" x14ac:dyDescent="0.25"/>
    <row r="3" spans="1:15" ht="18.75" x14ac:dyDescent="0.3">
      <c r="A3" s="81" t="s">
        <v>1239</v>
      </c>
    </row>
    <row r="4" spans="1:15" ht="6" customHeight="1" x14ac:dyDescent="0.25"/>
    <row r="5" spans="1:15" ht="30" customHeight="1" x14ac:dyDescent="0.25">
      <c r="A5" s="82" t="s">
        <v>1320</v>
      </c>
      <c r="B5" s="82" t="s">
        <v>1241</v>
      </c>
      <c r="C5" s="82" t="s">
        <v>1240</v>
      </c>
      <c r="D5" s="82" t="s">
        <v>1246</v>
      </c>
      <c r="E5" s="82" t="s">
        <v>1253</v>
      </c>
    </row>
    <row r="6" spans="1:15" x14ac:dyDescent="0.25">
      <c r="A6" s="83"/>
      <c r="B6" s="84" t="s">
        <v>1275</v>
      </c>
      <c r="C6" s="84" t="s">
        <v>1275</v>
      </c>
      <c r="D6" s="85" t="s">
        <v>1276</v>
      </c>
      <c r="E6" s="85" t="s">
        <v>1276</v>
      </c>
    </row>
    <row r="7" spans="1:15" x14ac:dyDescent="0.25">
      <c r="A7" s="86" t="s">
        <v>1321</v>
      </c>
      <c r="B7" s="87" t="s">
        <v>1322</v>
      </c>
      <c r="C7" s="87" t="s">
        <v>1323</v>
      </c>
      <c r="D7" s="88">
        <v>0</v>
      </c>
      <c r="E7" s="87">
        <v>0</v>
      </c>
      <c r="F7" s="216" t="s">
        <v>1324</v>
      </c>
      <c r="G7" s="89"/>
      <c r="H7" s="89"/>
      <c r="I7" s="89"/>
      <c r="J7" s="89"/>
      <c r="K7" s="89"/>
      <c r="L7" s="89"/>
      <c r="M7" s="89"/>
      <c r="N7" s="89"/>
      <c r="O7" s="89"/>
    </row>
    <row r="8" spans="1:15" x14ac:dyDescent="0.25">
      <c r="A8" s="90" t="s">
        <v>469</v>
      </c>
      <c r="B8" s="91" t="s">
        <v>1322</v>
      </c>
      <c r="C8" s="91" t="s">
        <v>1323</v>
      </c>
      <c r="D8" s="92">
        <v>0</v>
      </c>
      <c r="E8" s="91" t="s">
        <v>1325</v>
      </c>
      <c r="F8" s="216" t="s">
        <v>1326</v>
      </c>
      <c r="G8" s="89"/>
      <c r="H8" s="89"/>
      <c r="I8" s="89"/>
      <c r="J8" s="89"/>
      <c r="K8" s="89"/>
      <c r="L8" s="89"/>
      <c r="M8" s="89"/>
      <c r="N8" s="89"/>
      <c r="O8" s="89"/>
    </row>
    <row r="9" spans="1:15" x14ac:dyDescent="0.25">
      <c r="A9" s="90" t="s">
        <v>1327</v>
      </c>
      <c r="B9" s="91" t="s">
        <v>1322</v>
      </c>
      <c r="C9" s="91" t="s">
        <v>1323</v>
      </c>
      <c r="D9" s="92" t="s">
        <v>1328</v>
      </c>
      <c r="E9" s="91">
        <v>0</v>
      </c>
      <c r="F9" s="358" t="s">
        <v>1329</v>
      </c>
      <c r="G9" s="359"/>
      <c r="H9" s="359"/>
      <c r="I9" s="359"/>
      <c r="J9" s="359"/>
      <c r="K9" s="359"/>
      <c r="L9" s="359"/>
      <c r="M9" s="359"/>
      <c r="N9" s="359"/>
      <c r="O9" s="359"/>
    </row>
    <row r="10" spans="1:15" x14ac:dyDescent="0.25">
      <c r="A10" s="90" t="s">
        <v>454</v>
      </c>
      <c r="B10" s="91" t="s">
        <v>1322</v>
      </c>
      <c r="C10" s="91" t="s">
        <v>1323</v>
      </c>
      <c r="D10" s="92" t="s">
        <v>1328</v>
      </c>
      <c r="E10" s="91" t="s">
        <v>1325</v>
      </c>
      <c r="F10" s="216" t="s">
        <v>1326</v>
      </c>
      <c r="G10" s="89"/>
      <c r="H10" s="89"/>
      <c r="I10" s="89"/>
      <c r="J10" s="89"/>
      <c r="K10" s="89"/>
      <c r="L10" s="89"/>
      <c r="M10" s="89"/>
      <c r="N10" s="89"/>
      <c r="O10" s="89"/>
    </row>
    <row r="12" spans="1:15" x14ac:dyDescent="0.25">
      <c r="A12" s="360" t="s">
        <v>1233</v>
      </c>
      <c r="B12" s="361"/>
      <c r="C12" s="361"/>
      <c r="D12" s="361"/>
      <c r="E12" s="361"/>
      <c r="F12" s="361"/>
      <c r="G12" s="361"/>
      <c r="H12" s="361"/>
      <c r="I12" s="361"/>
      <c r="J12" s="361"/>
      <c r="K12" s="361"/>
      <c r="L12" s="361"/>
      <c r="M12" s="361"/>
      <c r="N12" s="361"/>
      <c r="O12" s="362"/>
    </row>
    <row r="13" spans="1:15" ht="15" customHeight="1" x14ac:dyDescent="0.25">
      <c r="A13" s="93" t="s">
        <v>1275</v>
      </c>
      <c r="B13" s="352" t="s">
        <v>1286</v>
      </c>
      <c r="C13" s="353"/>
      <c r="D13" s="353"/>
      <c r="E13" s="353"/>
      <c r="F13" s="353"/>
      <c r="G13" s="353"/>
      <c r="H13" s="353"/>
      <c r="I13" s="353"/>
      <c r="J13" s="353"/>
      <c r="K13" s="353"/>
      <c r="L13" s="353"/>
      <c r="M13" s="353"/>
      <c r="N13" s="353"/>
      <c r="O13" s="354"/>
    </row>
    <row r="14" spans="1:15" ht="15" customHeight="1" x14ac:dyDescent="0.25">
      <c r="A14" s="94" t="s">
        <v>1278</v>
      </c>
      <c r="B14" s="352" t="s">
        <v>1288</v>
      </c>
      <c r="C14" s="353"/>
      <c r="D14" s="353"/>
      <c r="E14" s="353"/>
      <c r="F14" s="353"/>
      <c r="G14" s="353"/>
      <c r="H14" s="353"/>
      <c r="I14" s="353"/>
      <c r="J14" s="353"/>
      <c r="K14" s="353"/>
      <c r="L14" s="353"/>
      <c r="M14" s="353"/>
      <c r="N14" s="353"/>
      <c r="O14" s="354"/>
    </row>
    <row r="16" spans="1:15" x14ac:dyDescent="0.25">
      <c r="A16" s="95" t="s">
        <v>2</v>
      </c>
      <c r="B16" s="96" t="s">
        <v>1289</v>
      </c>
      <c r="C16" s="363" t="s">
        <v>1290</v>
      </c>
      <c r="D16" s="364"/>
      <c r="E16" s="364"/>
      <c r="F16" s="364"/>
      <c r="G16" s="355" t="s">
        <v>1291</v>
      </c>
      <c r="H16" s="355"/>
      <c r="I16" s="355"/>
      <c r="J16" s="355"/>
      <c r="K16" s="355"/>
      <c r="L16" s="355"/>
      <c r="M16" s="355"/>
      <c r="N16" s="355"/>
      <c r="O16" s="355"/>
    </row>
    <row r="17" spans="1:15" s="98" customFormat="1" ht="49.5" customHeight="1" x14ac:dyDescent="0.2">
      <c r="A17" s="95">
        <v>1</v>
      </c>
      <c r="B17" s="97" t="s">
        <v>1241</v>
      </c>
      <c r="C17" s="356" t="s">
        <v>476</v>
      </c>
      <c r="D17" s="357"/>
      <c r="E17" s="357"/>
      <c r="F17" s="357"/>
      <c r="G17" s="349" t="s">
        <v>1292</v>
      </c>
      <c r="H17" s="349"/>
      <c r="I17" s="349"/>
      <c r="J17" s="349"/>
      <c r="K17" s="349"/>
      <c r="L17" s="349"/>
      <c r="M17" s="349"/>
      <c r="N17" s="349"/>
      <c r="O17" s="349"/>
    </row>
    <row r="18" spans="1:15" s="98" customFormat="1" ht="183" customHeight="1" x14ac:dyDescent="0.2">
      <c r="A18" s="95">
        <v>2</v>
      </c>
      <c r="B18" s="97" t="s">
        <v>1240</v>
      </c>
      <c r="C18" s="356" t="s">
        <v>1293</v>
      </c>
      <c r="D18" s="357"/>
      <c r="E18" s="357"/>
      <c r="F18" s="357"/>
      <c r="G18" s="349" t="s">
        <v>1294</v>
      </c>
      <c r="H18" s="349"/>
      <c r="I18" s="349"/>
      <c r="J18" s="349"/>
      <c r="K18" s="349"/>
      <c r="L18" s="349"/>
      <c r="M18" s="349"/>
      <c r="N18" s="349"/>
      <c r="O18" s="349"/>
    </row>
    <row r="19" spans="1:15" s="98" customFormat="1" ht="27.75" customHeight="1" x14ac:dyDescent="0.2">
      <c r="A19" s="95">
        <v>7</v>
      </c>
      <c r="B19" s="97" t="s">
        <v>1246</v>
      </c>
      <c r="C19" s="356" t="s">
        <v>1300</v>
      </c>
      <c r="D19" s="357"/>
      <c r="E19" s="357"/>
      <c r="F19" s="357"/>
      <c r="G19" s="349"/>
      <c r="H19" s="349"/>
      <c r="I19" s="349"/>
      <c r="J19" s="349"/>
      <c r="K19" s="349"/>
      <c r="L19" s="349"/>
      <c r="M19" s="349"/>
      <c r="N19" s="349"/>
      <c r="O19" s="349"/>
    </row>
    <row r="20" spans="1:15" ht="140.25" customHeight="1" x14ac:dyDescent="0.25">
      <c r="A20" s="95">
        <v>13</v>
      </c>
      <c r="B20" s="97" t="s">
        <v>1307</v>
      </c>
      <c r="C20" s="356" t="s">
        <v>510</v>
      </c>
      <c r="D20" s="357"/>
      <c r="E20" s="357"/>
      <c r="F20" s="357"/>
      <c r="G20" s="349" t="s">
        <v>1330</v>
      </c>
      <c r="H20" s="349"/>
      <c r="I20" s="349"/>
      <c r="J20" s="349"/>
      <c r="K20" s="349"/>
      <c r="L20" s="349"/>
      <c r="M20" s="349"/>
      <c r="N20" s="349"/>
      <c r="O20" s="349"/>
    </row>
  </sheetData>
  <mergeCells count="14">
    <mergeCell ref="F9:O9"/>
    <mergeCell ref="A12:O12"/>
    <mergeCell ref="B13:O13"/>
    <mergeCell ref="B14:O14"/>
    <mergeCell ref="C16:F16"/>
    <mergeCell ref="G16:O16"/>
    <mergeCell ref="C20:F20"/>
    <mergeCell ref="G20:O20"/>
    <mergeCell ref="C17:F17"/>
    <mergeCell ref="G17:O17"/>
    <mergeCell ref="C18:F18"/>
    <mergeCell ref="G18:O18"/>
    <mergeCell ref="C19:F19"/>
    <mergeCell ref="G19:O19"/>
  </mergeCells>
  <pageMargins left="0.511811024" right="0.511811024" top="0.78740157499999996" bottom="0.78740157499999996" header="0.31496062000000002" footer="0.31496062000000002"/>
  <pageSetup paperSize="9" orientation="portrait" r:id="rId1"/>
  <headerFooter>
    <oddHeader>&amp;L&amp;"Calibri"&amp;10&amp;K000000 General Business&amp;1#_x000D_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665"/>
  <sheetViews>
    <sheetView topLeftCell="A8" zoomScale="90" zoomScaleNormal="90" zoomScaleSheetLayoutView="100" workbookViewId="0">
      <pane ySplit="7" topLeftCell="A430" activePane="bottomLeft" state="frozen"/>
      <selection activeCell="A8" sqref="A8"/>
      <selection pane="bottomLeft" activeCell="C448" sqref="C448"/>
    </sheetView>
  </sheetViews>
  <sheetFormatPr defaultColWidth="9.140625" defaultRowHeight="12.75" x14ac:dyDescent="0.2"/>
  <cols>
    <col min="1" max="1" width="6" style="1" bestFit="1" customWidth="1"/>
    <col min="2" max="2" width="3.5703125" style="1" customWidth="1"/>
    <col min="3" max="3" width="92.140625" style="1" bestFit="1" customWidth="1"/>
    <col min="4" max="4" width="10.28515625" style="54" bestFit="1" customWidth="1"/>
    <col min="5" max="6" width="9" style="1" bestFit="1" customWidth="1"/>
    <col min="7" max="7" width="10.42578125" style="1" customWidth="1"/>
    <col min="8" max="8" width="5.85546875" style="1" customWidth="1"/>
    <col min="9" max="9" width="11" style="1" customWidth="1"/>
    <col min="10" max="10" width="23.28515625" style="1" bestFit="1" customWidth="1"/>
    <col min="11" max="11" width="70.28515625" style="1" customWidth="1"/>
    <col min="12" max="16384" width="9.140625" style="1"/>
  </cols>
  <sheetData>
    <row r="1" spans="1:11" ht="19.5" customHeight="1" x14ac:dyDescent="0.2">
      <c r="A1" s="323" t="s">
        <v>0</v>
      </c>
      <c r="B1" s="323"/>
      <c r="C1" s="323"/>
      <c r="D1" s="323"/>
      <c r="E1" s="323"/>
      <c r="F1" s="323"/>
      <c r="G1" s="323"/>
      <c r="H1" s="323"/>
      <c r="I1" s="323"/>
    </row>
    <row r="3" spans="1:11" ht="19.5" customHeight="1" x14ac:dyDescent="0.2">
      <c r="A3" s="335" t="s">
        <v>1331</v>
      </c>
      <c r="B3" s="336"/>
      <c r="C3" s="336"/>
      <c r="D3" s="336"/>
      <c r="E3" s="336"/>
      <c r="F3" s="336"/>
      <c r="G3" s="336"/>
      <c r="H3" s="336"/>
      <c r="I3" s="336"/>
      <c r="J3" s="336"/>
      <c r="K3" s="337"/>
    </row>
    <row r="5" spans="1:11" x14ac:dyDescent="0.2">
      <c r="A5" s="5" t="s">
        <v>2</v>
      </c>
      <c r="B5" s="9" t="s">
        <v>3</v>
      </c>
      <c r="C5" s="6"/>
      <c r="D5" s="53" t="s">
        <v>4</v>
      </c>
      <c r="E5" s="5" t="s">
        <v>5</v>
      </c>
      <c r="F5" s="5" t="s">
        <v>6</v>
      </c>
      <c r="G5" s="5" t="s">
        <v>7</v>
      </c>
      <c r="H5" s="5" t="s">
        <v>8</v>
      </c>
      <c r="I5" s="5" t="s">
        <v>9</v>
      </c>
      <c r="J5" s="5" t="s">
        <v>10</v>
      </c>
      <c r="K5" s="6" t="s">
        <v>11</v>
      </c>
    </row>
    <row r="6" spans="1:11" ht="15" customHeight="1" x14ac:dyDescent="0.2">
      <c r="A6" s="338" t="s">
        <v>12</v>
      </c>
      <c r="B6" s="339"/>
      <c r="C6" s="339"/>
      <c r="D6" s="339"/>
      <c r="E6" s="339"/>
      <c r="F6" s="339"/>
      <c r="G6" s="339"/>
      <c r="H6" s="339"/>
      <c r="I6" s="339"/>
      <c r="J6" s="339"/>
      <c r="K6" s="340"/>
    </row>
    <row r="7" spans="1:11" ht="15" customHeight="1" x14ac:dyDescent="0.2">
      <c r="A7" s="2">
        <v>1</v>
      </c>
      <c r="B7" s="10" t="s">
        <v>13</v>
      </c>
      <c r="C7" s="3"/>
      <c r="D7" s="29" t="s">
        <v>14</v>
      </c>
      <c r="E7" s="28">
        <v>1</v>
      </c>
      <c r="F7" s="28">
        <f>G7</f>
        <v>6</v>
      </c>
      <c r="G7" s="28">
        <v>6</v>
      </c>
      <c r="H7" s="28" t="s">
        <v>15</v>
      </c>
      <c r="I7" s="28"/>
      <c r="J7" s="3"/>
      <c r="K7" s="3" t="s">
        <v>16</v>
      </c>
    </row>
    <row r="8" spans="1:11" ht="15" customHeight="1" x14ac:dyDescent="0.2">
      <c r="A8" s="2">
        <v>2</v>
      </c>
      <c r="B8" s="10" t="s">
        <v>17</v>
      </c>
      <c r="C8" s="3"/>
      <c r="D8" s="29" t="s">
        <v>14</v>
      </c>
      <c r="E8" s="28">
        <f>F7+1</f>
        <v>7</v>
      </c>
      <c r="F8" s="28">
        <f>F7+G8</f>
        <v>14</v>
      </c>
      <c r="G8" s="28">
        <v>8</v>
      </c>
      <c r="H8" s="28" t="s">
        <v>18</v>
      </c>
      <c r="I8" s="28"/>
      <c r="J8" s="3" t="s">
        <v>19</v>
      </c>
      <c r="K8" s="3" t="s">
        <v>20</v>
      </c>
    </row>
    <row r="9" spans="1:11" ht="15" customHeight="1" x14ac:dyDescent="0.2">
      <c r="A9" s="2">
        <v>3</v>
      </c>
      <c r="B9" s="10" t="s">
        <v>21</v>
      </c>
      <c r="C9" s="3"/>
      <c r="D9" s="29" t="s">
        <v>14</v>
      </c>
      <c r="E9" s="28">
        <f>F8+1</f>
        <v>15</v>
      </c>
      <c r="F9" s="28">
        <f>F8+G9</f>
        <v>23</v>
      </c>
      <c r="G9" s="28">
        <v>9</v>
      </c>
      <c r="H9" s="28" t="s">
        <v>18</v>
      </c>
      <c r="I9" s="28"/>
      <c r="J9" s="3" t="s">
        <v>22</v>
      </c>
      <c r="K9" s="3" t="s">
        <v>23</v>
      </c>
    </row>
    <row r="10" spans="1:11" ht="15" customHeight="1" x14ac:dyDescent="0.2">
      <c r="A10" s="2">
        <v>4</v>
      </c>
      <c r="B10" s="10" t="s">
        <v>24</v>
      </c>
      <c r="C10" s="3"/>
      <c r="D10" s="29" t="s">
        <v>14</v>
      </c>
      <c r="E10" s="28">
        <f>F9+1</f>
        <v>24</v>
      </c>
      <c r="F10" s="28">
        <f>F9+G10</f>
        <v>48</v>
      </c>
      <c r="G10" s="28">
        <v>25</v>
      </c>
      <c r="H10" s="28" t="s">
        <v>15</v>
      </c>
      <c r="I10" s="28"/>
      <c r="J10" s="3"/>
      <c r="K10" s="3" t="s">
        <v>25</v>
      </c>
    </row>
    <row r="11" spans="1:11" ht="15" customHeight="1" x14ac:dyDescent="0.2">
      <c r="A11" s="2">
        <v>5</v>
      </c>
      <c r="B11" s="10" t="s">
        <v>26</v>
      </c>
      <c r="C11" s="3"/>
      <c r="D11" s="29" t="s">
        <v>14</v>
      </c>
      <c r="E11" s="28">
        <f>F10+1</f>
        <v>49</v>
      </c>
      <c r="F11" s="28">
        <f>F10+G11</f>
        <v>62</v>
      </c>
      <c r="G11" s="28">
        <v>14</v>
      </c>
      <c r="H11" s="28" t="s">
        <v>18</v>
      </c>
      <c r="I11" s="28"/>
      <c r="J11" s="3"/>
      <c r="K11" s="3" t="s">
        <v>27</v>
      </c>
    </row>
    <row r="12" spans="1:11" ht="15" customHeight="1" x14ac:dyDescent="0.2">
      <c r="A12" s="2">
        <v>6</v>
      </c>
      <c r="B12" s="10" t="s">
        <v>28</v>
      </c>
      <c r="C12" s="3"/>
      <c r="D12" s="29" t="s">
        <v>14</v>
      </c>
      <c r="E12" s="28">
        <f>F11+1</f>
        <v>63</v>
      </c>
      <c r="F12" s="28">
        <v>600</v>
      </c>
      <c r="G12" s="28">
        <f>F12-F11</f>
        <v>538</v>
      </c>
      <c r="H12" s="28" t="s">
        <v>15</v>
      </c>
      <c r="I12" s="28"/>
      <c r="J12" s="3"/>
      <c r="K12" s="3" t="s">
        <v>29</v>
      </c>
    </row>
    <row r="13" spans="1:11" ht="11.25" customHeight="1" x14ac:dyDescent="0.2"/>
    <row r="14" spans="1:11" ht="15" customHeight="1" x14ac:dyDescent="0.2">
      <c r="A14" s="194" t="s">
        <v>2</v>
      </c>
      <c r="B14" s="165" t="s">
        <v>3</v>
      </c>
      <c r="C14" s="195"/>
      <c r="D14" s="196" t="s">
        <v>4</v>
      </c>
      <c r="E14" s="194" t="s">
        <v>5</v>
      </c>
      <c r="F14" s="194" t="s">
        <v>6</v>
      </c>
      <c r="G14" s="194" t="s">
        <v>7</v>
      </c>
      <c r="H14" s="194" t="s">
        <v>8</v>
      </c>
      <c r="I14" s="194" t="s">
        <v>9</v>
      </c>
      <c r="J14" s="194" t="s">
        <v>10</v>
      </c>
      <c r="K14" s="195" t="s">
        <v>11</v>
      </c>
    </row>
    <row r="15" spans="1:11" ht="15" customHeight="1" x14ac:dyDescent="0.2">
      <c r="A15" s="338" t="s">
        <v>30</v>
      </c>
      <c r="B15" s="339"/>
      <c r="C15" s="339"/>
      <c r="D15" s="339"/>
      <c r="E15" s="339"/>
      <c r="F15" s="339"/>
      <c r="G15" s="339"/>
      <c r="H15" s="339"/>
      <c r="I15" s="339"/>
      <c r="J15" s="339"/>
      <c r="K15" s="340"/>
    </row>
    <row r="16" spans="1:11" ht="15" customHeight="1" x14ac:dyDescent="0.2">
      <c r="A16" s="2">
        <v>1</v>
      </c>
      <c r="B16" s="10" t="s">
        <v>13</v>
      </c>
      <c r="C16" s="3"/>
      <c r="D16" s="29" t="s">
        <v>14</v>
      </c>
      <c r="E16" s="28">
        <v>1</v>
      </c>
      <c r="F16" s="28">
        <f>G16</f>
        <v>6</v>
      </c>
      <c r="G16" s="28">
        <v>6</v>
      </c>
      <c r="H16" s="28" t="s">
        <v>18</v>
      </c>
      <c r="I16" s="28"/>
      <c r="J16" s="3"/>
      <c r="K16" s="3" t="s">
        <v>31</v>
      </c>
    </row>
    <row r="17" spans="1:11" ht="15" customHeight="1" x14ac:dyDescent="0.2">
      <c r="A17" s="2">
        <f t="shared" ref="A17:A54" si="0">A16+1</f>
        <v>2</v>
      </c>
      <c r="B17" s="159" t="s">
        <v>32</v>
      </c>
      <c r="C17" s="158"/>
      <c r="D17" s="29" t="s">
        <v>14</v>
      </c>
      <c r="E17" s="28">
        <f>$F$16+1</f>
        <v>7</v>
      </c>
      <c r="F17" s="28">
        <f>G17+$F$16</f>
        <v>9</v>
      </c>
      <c r="G17" s="28">
        <v>3</v>
      </c>
      <c r="H17" s="28" t="s">
        <v>18</v>
      </c>
      <c r="I17" s="28"/>
      <c r="J17" s="29"/>
      <c r="K17" s="158" t="s">
        <v>33</v>
      </c>
    </row>
    <row r="18" spans="1:11" ht="15" customHeight="1" x14ac:dyDescent="0.2">
      <c r="A18" s="2">
        <f t="shared" si="0"/>
        <v>3</v>
      </c>
      <c r="B18" s="13"/>
      <c r="C18" s="30" t="s">
        <v>34</v>
      </c>
      <c r="D18" s="29" t="s">
        <v>14</v>
      </c>
      <c r="E18" s="28">
        <f t="shared" ref="E18:E34" si="1">F17+1</f>
        <v>10</v>
      </c>
      <c r="F18" s="28">
        <f t="shared" ref="F18:F33" si="2">F17+G18</f>
        <v>12</v>
      </c>
      <c r="G18" s="18">
        <v>3</v>
      </c>
      <c r="H18" s="18" t="s">
        <v>15</v>
      </c>
      <c r="I18" s="28"/>
      <c r="J18" s="29" t="s">
        <v>35</v>
      </c>
      <c r="K18" s="31" t="s">
        <v>1332</v>
      </c>
    </row>
    <row r="19" spans="1:11" ht="15" x14ac:dyDescent="0.2">
      <c r="A19" s="2">
        <f t="shared" si="0"/>
        <v>4</v>
      </c>
      <c r="B19" s="13"/>
      <c r="C19" s="30" t="s">
        <v>37</v>
      </c>
      <c r="D19" s="29" t="s">
        <v>14</v>
      </c>
      <c r="E19" s="28">
        <f t="shared" si="1"/>
        <v>13</v>
      </c>
      <c r="F19" s="28">
        <f t="shared" si="2"/>
        <v>14</v>
      </c>
      <c r="G19" s="18">
        <v>2</v>
      </c>
      <c r="H19" s="18" t="s">
        <v>15</v>
      </c>
      <c r="I19" s="28"/>
      <c r="J19" s="29"/>
      <c r="K19" s="77">
        <v>55</v>
      </c>
    </row>
    <row r="20" spans="1:11" ht="15" customHeight="1" x14ac:dyDescent="0.2">
      <c r="A20" s="2">
        <f t="shared" si="0"/>
        <v>5</v>
      </c>
      <c r="B20" s="13"/>
      <c r="C20" s="30" t="s">
        <v>39</v>
      </c>
      <c r="D20" s="29" t="s">
        <v>14</v>
      </c>
      <c r="E20" s="28">
        <f t="shared" si="1"/>
        <v>15</v>
      </c>
      <c r="F20" s="28">
        <f t="shared" si="2"/>
        <v>17</v>
      </c>
      <c r="G20" s="18">
        <v>3</v>
      </c>
      <c r="H20" s="18" t="s">
        <v>18</v>
      </c>
      <c r="I20" s="28"/>
      <c r="J20" s="29"/>
      <c r="K20" s="31" t="s">
        <v>40</v>
      </c>
    </row>
    <row r="21" spans="1:11" ht="15" customHeight="1" x14ac:dyDescent="0.2">
      <c r="A21" s="2">
        <f t="shared" si="0"/>
        <v>6</v>
      </c>
      <c r="B21" s="13"/>
      <c r="C21" s="30" t="s">
        <v>1333</v>
      </c>
      <c r="D21" s="29" t="s">
        <v>14</v>
      </c>
      <c r="E21" s="28">
        <f t="shared" si="1"/>
        <v>18</v>
      </c>
      <c r="F21" s="28">
        <f t="shared" si="2"/>
        <v>26</v>
      </c>
      <c r="G21" s="18">
        <v>9</v>
      </c>
      <c r="H21" s="18" t="s">
        <v>18</v>
      </c>
      <c r="I21" s="28"/>
      <c r="J21" s="29"/>
      <c r="K21" s="31" t="s">
        <v>1334</v>
      </c>
    </row>
    <row r="22" spans="1:11" ht="15" customHeight="1" x14ac:dyDescent="0.2">
      <c r="A22" s="2">
        <f t="shared" si="0"/>
        <v>7</v>
      </c>
      <c r="B22" s="13"/>
      <c r="C22" s="30" t="s">
        <v>44</v>
      </c>
      <c r="D22" s="29" t="s">
        <v>14</v>
      </c>
      <c r="E22" s="28">
        <f t="shared" si="1"/>
        <v>27</v>
      </c>
      <c r="F22" s="28">
        <f t="shared" si="2"/>
        <v>29</v>
      </c>
      <c r="G22" s="18">
        <v>3</v>
      </c>
      <c r="H22" s="18" t="s">
        <v>18</v>
      </c>
      <c r="I22" s="28"/>
      <c r="J22" s="29"/>
      <c r="K22" s="31" t="s">
        <v>45</v>
      </c>
    </row>
    <row r="23" spans="1:11" ht="38.25" x14ac:dyDescent="0.2">
      <c r="A23" s="2">
        <f t="shared" si="0"/>
        <v>8</v>
      </c>
      <c r="B23" s="13"/>
      <c r="C23" s="30" t="s">
        <v>46</v>
      </c>
      <c r="D23" s="29" t="s">
        <v>14</v>
      </c>
      <c r="E23" s="28">
        <f t="shared" si="1"/>
        <v>30</v>
      </c>
      <c r="F23" s="28">
        <f t="shared" si="2"/>
        <v>30</v>
      </c>
      <c r="G23" s="18">
        <v>1</v>
      </c>
      <c r="H23" s="18" t="s">
        <v>18</v>
      </c>
      <c r="I23" s="28"/>
      <c r="J23" s="29"/>
      <c r="K23" s="31" t="s">
        <v>1335</v>
      </c>
    </row>
    <row r="24" spans="1:11" ht="204" x14ac:dyDescent="0.2">
      <c r="A24" s="2">
        <f t="shared" si="0"/>
        <v>9</v>
      </c>
      <c r="B24" s="13"/>
      <c r="C24" s="32" t="s">
        <v>48</v>
      </c>
      <c r="D24" s="29" t="s">
        <v>14</v>
      </c>
      <c r="E24" s="28">
        <f t="shared" si="1"/>
        <v>31</v>
      </c>
      <c r="F24" s="28">
        <f t="shared" si="2"/>
        <v>74</v>
      </c>
      <c r="G24" s="18">
        <v>44</v>
      </c>
      <c r="H24" s="18" t="s">
        <v>15</v>
      </c>
      <c r="I24" s="28"/>
      <c r="J24" s="29"/>
      <c r="K24" s="31" t="s">
        <v>49</v>
      </c>
    </row>
    <row r="25" spans="1:11" ht="38.25" x14ac:dyDescent="0.2">
      <c r="A25" s="2">
        <f t="shared" si="0"/>
        <v>10</v>
      </c>
      <c r="B25" s="13"/>
      <c r="C25" s="30" t="s">
        <v>50</v>
      </c>
      <c r="D25" s="29" t="s">
        <v>14</v>
      </c>
      <c r="E25" s="28">
        <f t="shared" si="1"/>
        <v>75</v>
      </c>
      <c r="F25" s="28">
        <f t="shared" si="2"/>
        <v>89</v>
      </c>
      <c r="G25" s="18">
        <v>15</v>
      </c>
      <c r="H25" s="18" t="s">
        <v>15</v>
      </c>
      <c r="I25" s="28"/>
      <c r="J25" s="29"/>
      <c r="K25" s="31" t="s">
        <v>51</v>
      </c>
    </row>
    <row r="26" spans="1:11" ht="15" x14ac:dyDescent="0.2">
      <c r="A26" s="2">
        <f t="shared" si="0"/>
        <v>11</v>
      </c>
      <c r="B26" s="13"/>
      <c r="C26" s="30" t="s">
        <v>1336</v>
      </c>
      <c r="D26" s="15" t="s">
        <v>14</v>
      </c>
      <c r="E26" s="28">
        <f t="shared" si="1"/>
        <v>90</v>
      </c>
      <c r="F26" s="28">
        <f t="shared" si="2"/>
        <v>92</v>
      </c>
      <c r="G26" s="16">
        <v>3</v>
      </c>
      <c r="H26" s="16" t="s">
        <v>18</v>
      </c>
      <c r="I26" s="15"/>
      <c r="J26" s="25"/>
      <c r="K26" s="31" t="s">
        <v>1337</v>
      </c>
    </row>
    <row r="27" spans="1:11" ht="13.5" x14ac:dyDescent="0.2">
      <c r="A27" s="2">
        <f t="shared" si="0"/>
        <v>12</v>
      </c>
      <c r="B27" s="13"/>
      <c r="C27" s="14" t="s">
        <v>1338</v>
      </c>
      <c r="D27" s="15" t="s">
        <v>14</v>
      </c>
      <c r="E27" s="28">
        <f t="shared" si="1"/>
        <v>93</v>
      </c>
      <c r="F27" s="28">
        <f t="shared" si="2"/>
        <v>347</v>
      </c>
      <c r="G27" s="16">
        <v>255</v>
      </c>
      <c r="H27" s="16" t="s">
        <v>15</v>
      </c>
      <c r="I27" s="15"/>
      <c r="J27" s="25"/>
      <c r="K27" s="31" t="s">
        <v>1339</v>
      </c>
    </row>
    <row r="28" spans="1:11" ht="13.5" x14ac:dyDescent="0.2">
      <c r="A28" s="2">
        <f t="shared" si="0"/>
        <v>13</v>
      </c>
      <c r="B28" s="13"/>
      <c r="C28" s="14" t="s">
        <v>1340</v>
      </c>
      <c r="D28" s="15" t="s">
        <v>14</v>
      </c>
      <c r="E28" s="28">
        <f t="shared" si="1"/>
        <v>348</v>
      </c>
      <c r="F28" s="28">
        <f t="shared" si="2"/>
        <v>361</v>
      </c>
      <c r="G28" s="15">
        <v>14</v>
      </c>
      <c r="H28" s="16" t="s">
        <v>15</v>
      </c>
      <c r="I28" s="15"/>
      <c r="J28" s="25"/>
      <c r="K28" s="31" t="s">
        <v>60</v>
      </c>
    </row>
    <row r="29" spans="1:11" ht="15" customHeight="1" x14ac:dyDescent="0.2">
      <c r="A29" s="2">
        <f t="shared" si="0"/>
        <v>14</v>
      </c>
      <c r="B29" s="13"/>
      <c r="C29" s="14" t="s">
        <v>1341</v>
      </c>
      <c r="D29" s="15" t="s">
        <v>14</v>
      </c>
      <c r="E29" s="28">
        <f t="shared" si="1"/>
        <v>362</v>
      </c>
      <c r="F29" s="28">
        <f t="shared" si="2"/>
        <v>364</v>
      </c>
      <c r="G29" s="15">
        <v>3</v>
      </c>
      <c r="H29" s="16" t="s">
        <v>15</v>
      </c>
      <c r="I29" s="15"/>
      <c r="J29" s="25"/>
      <c r="K29" s="31" t="s">
        <v>1342</v>
      </c>
    </row>
    <row r="30" spans="1:11" ht="89.25" x14ac:dyDescent="0.2">
      <c r="A30" s="2">
        <f t="shared" si="0"/>
        <v>15</v>
      </c>
      <c r="B30" s="13"/>
      <c r="C30" s="14" t="s">
        <v>1343</v>
      </c>
      <c r="D30" s="15" t="s">
        <v>14</v>
      </c>
      <c r="E30" s="28">
        <f t="shared" si="1"/>
        <v>365</v>
      </c>
      <c r="F30" s="28">
        <f t="shared" si="2"/>
        <v>367</v>
      </c>
      <c r="G30" s="15">
        <v>3</v>
      </c>
      <c r="H30" s="16" t="s">
        <v>15</v>
      </c>
      <c r="I30" s="15"/>
      <c r="J30" s="25"/>
      <c r="K30" s="31" t="s">
        <v>1344</v>
      </c>
    </row>
    <row r="31" spans="1:11" ht="25.5" x14ac:dyDescent="0.2">
      <c r="A31" s="2">
        <f t="shared" si="0"/>
        <v>16</v>
      </c>
      <c r="B31" s="13"/>
      <c r="C31" s="14" t="s">
        <v>1345</v>
      </c>
      <c r="D31" s="15" t="s">
        <v>14</v>
      </c>
      <c r="E31" s="28">
        <f t="shared" si="1"/>
        <v>368</v>
      </c>
      <c r="F31" s="28">
        <f t="shared" si="2"/>
        <v>397</v>
      </c>
      <c r="G31" s="15">
        <v>30</v>
      </c>
      <c r="H31" s="16" t="s">
        <v>15</v>
      </c>
      <c r="I31" s="15"/>
      <c r="J31" s="25"/>
      <c r="K31" s="31" t="s">
        <v>1346</v>
      </c>
    </row>
    <row r="32" spans="1:11" ht="13.5" x14ac:dyDescent="0.2">
      <c r="A32" s="2">
        <f t="shared" si="0"/>
        <v>17</v>
      </c>
      <c r="B32" s="13"/>
      <c r="C32" s="14" t="s">
        <v>1347</v>
      </c>
      <c r="D32" s="15">
        <v>28</v>
      </c>
      <c r="E32" s="28">
        <f t="shared" si="1"/>
        <v>398</v>
      </c>
      <c r="F32" s="28">
        <f t="shared" si="2"/>
        <v>398</v>
      </c>
      <c r="G32" s="16">
        <v>1</v>
      </c>
      <c r="H32" s="16" t="s">
        <v>18</v>
      </c>
      <c r="I32" s="15"/>
      <c r="J32" s="25"/>
      <c r="K32" s="3" t="s">
        <v>81</v>
      </c>
    </row>
    <row r="33" spans="1:11" ht="58.5" customHeight="1" x14ac:dyDescent="0.2">
      <c r="A33" s="76">
        <f t="shared" si="0"/>
        <v>18</v>
      </c>
      <c r="B33" s="73"/>
      <c r="C33" s="75" t="s">
        <v>82</v>
      </c>
      <c r="D33" s="73" t="s">
        <v>14</v>
      </c>
      <c r="E33" s="75">
        <f t="shared" si="1"/>
        <v>399</v>
      </c>
      <c r="F33" s="75">
        <f t="shared" si="2"/>
        <v>448</v>
      </c>
      <c r="G33" s="74">
        <v>50</v>
      </c>
      <c r="H33" s="74" t="s">
        <v>15</v>
      </c>
      <c r="I33" s="73"/>
      <c r="J33" s="72"/>
      <c r="K33" s="78" t="s">
        <v>83</v>
      </c>
    </row>
    <row r="34" spans="1:11" ht="15" x14ac:dyDescent="0.2">
      <c r="A34" s="2">
        <f t="shared" si="0"/>
        <v>19</v>
      </c>
      <c r="B34" s="13"/>
      <c r="C34" s="30" t="s">
        <v>28</v>
      </c>
      <c r="D34" s="29" t="s">
        <v>14</v>
      </c>
      <c r="E34" s="28">
        <f t="shared" si="1"/>
        <v>449</v>
      </c>
      <c r="F34" s="28">
        <v>600</v>
      </c>
      <c r="G34" s="28">
        <f>F34-E34+1</f>
        <v>152</v>
      </c>
      <c r="H34" s="28" t="s">
        <v>15</v>
      </c>
      <c r="I34" s="28"/>
      <c r="J34" s="3"/>
      <c r="K34" s="3" t="s">
        <v>29</v>
      </c>
    </row>
    <row r="35" spans="1:11" ht="15" customHeight="1" x14ac:dyDescent="0.2">
      <c r="A35" s="2">
        <f t="shared" si="0"/>
        <v>20</v>
      </c>
      <c r="B35" s="159" t="s">
        <v>92</v>
      </c>
      <c r="C35" s="158"/>
      <c r="D35" s="29" t="s">
        <v>14</v>
      </c>
      <c r="E35" s="28">
        <f>$F$16+1</f>
        <v>7</v>
      </c>
      <c r="F35" s="28">
        <f>G35+$F$16</f>
        <v>9</v>
      </c>
      <c r="G35" s="28">
        <v>3</v>
      </c>
      <c r="H35" s="28" t="s">
        <v>18</v>
      </c>
      <c r="I35" s="28"/>
      <c r="J35" s="3"/>
      <c r="K35" s="158" t="s">
        <v>93</v>
      </c>
    </row>
    <row r="36" spans="1:11" ht="30" customHeight="1" x14ac:dyDescent="0.2">
      <c r="A36" s="2">
        <f t="shared" si="0"/>
        <v>21</v>
      </c>
      <c r="B36" s="13"/>
      <c r="C36" s="30" t="s">
        <v>94</v>
      </c>
      <c r="D36" s="55">
        <v>6</v>
      </c>
      <c r="E36" s="28">
        <f t="shared" ref="E36:E54" si="3">F35+1</f>
        <v>10</v>
      </c>
      <c r="F36" s="28">
        <f t="shared" ref="F36:F54" si="4">F35+G36</f>
        <v>11</v>
      </c>
      <c r="G36" s="18">
        <v>2</v>
      </c>
      <c r="H36" s="18" t="s">
        <v>18</v>
      </c>
      <c r="I36" s="28"/>
      <c r="J36" s="3"/>
      <c r="K36" s="31" t="s">
        <v>95</v>
      </c>
    </row>
    <row r="37" spans="1:11" ht="76.5" x14ac:dyDescent="0.2">
      <c r="A37" s="2">
        <f t="shared" si="0"/>
        <v>22</v>
      </c>
      <c r="B37" s="13"/>
      <c r="C37" s="30" t="s">
        <v>96</v>
      </c>
      <c r="D37" s="55">
        <v>8</v>
      </c>
      <c r="E37" s="28">
        <f t="shared" si="3"/>
        <v>12</v>
      </c>
      <c r="F37" s="28">
        <f t="shared" si="4"/>
        <v>71</v>
      </c>
      <c r="G37" s="18">
        <v>60</v>
      </c>
      <c r="H37" s="18" t="s">
        <v>15</v>
      </c>
      <c r="I37" s="28"/>
      <c r="J37" s="3"/>
      <c r="K37" s="31" t="s">
        <v>97</v>
      </c>
    </row>
    <row r="38" spans="1:11" ht="15" x14ac:dyDescent="0.2">
      <c r="A38" s="2">
        <f t="shared" si="0"/>
        <v>23</v>
      </c>
      <c r="B38" s="13"/>
      <c r="C38" s="30" t="s">
        <v>98</v>
      </c>
      <c r="D38" s="55">
        <v>9</v>
      </c>
      <c r="E38" s="28">
        <f t="shared" si="3"/>
        <v>72</v>
      </c>
      <c r="F38" s="28">
        <f t="shared" si="4"/>
        <v>72</v>
      </c>
      <c r="G38" s="18">
        <v>1</v>
      </c>
      <c r="H38" s="18" t="s">
        <v>18</v>
      </c>
      <c r="I38" s="28"/>
      <c r="J38" s="3"/>
      <c r="K38" s="31" t="s">
        <v>1348</v>
      </c>
    </row>
    <row r="39" spans="1:11" ht="51" x14ac:dyDescent="0.2">
      <c r="A39" s="138">
        <f t="shared" si="0"/>
        <v>24</v>
      </c>
      <c r="B39" s="177"/>
      <c r="C39" s="142" t="s">
        <v>100</v>
      </c>
      <c r="D39" s="178">
        <v>10</v>
      </c>
      <c r="E39" s="69">
        <f t="shared" si="3"/>
        <v>73</v>
      </c>
      <c r="F39" s="69">
        <f t="shared" si="4"/>
        <v>74</v>
      </c>
      <c r="G39" s="68">
        <v>2</v>
      </c>
      <c r="H39" s="68" t="s">
        <v>15</v>
      </c>
      <c r="I39" s="69"/>
      <c r="J39" s="140"/>
      <c r="K39" s="179" t="s">
        <v>1349</v>
      </c>
    </row>
    <row r="40" spans="1:11" ht="76.5" x14ac:dyDescent="0.2">
      <c r="A40" s="2">
        <f t="shared" si="0"/>
        <v>25</v>
      </c>
      <c r="B40" s="13"/>
      <c r="C40" s="30" t="s">
        <v>102</v>
      </c>
      <c r="D40" s="55">
        <v>11</v>
      </c>
      <c r="E40" s="28">
        <f t="shared" si="3"/>
        <v>75</v>
      </c>
      <c r="F40" s="28">
        <f t="shared" si="4"/>
        <v>77</v>
      </c>
      <c r="G40" s="18">
        <v>3</v>
      </c>
      <c r="H40" s="18" t="s">
        <v>18</v>
      </c>
      <c r="I40" s="28"/>
      <c r="J40" s="3"/>
      <c r="K40" s="31" t="s">
        <v>103</v>
      </c>
    </row>
    <row r="41" spans="1:11" ht="15" x14ac:dyDescent="0.2">
      <c r="A41" s="2">
        <f t="shared" si="0"/>
        <v>26</v>
      </c>
      <c r="B41" s="13"/>
      <c r="C41" s="30" t="s">
        <v>104</v>
      </c>
      <c r="D41" s="55">
        <v>12</v>
      </c>
      <c r="E41" s="28">
        <f t="shared" si="3"/>
        <v>78</v>
      </c>
      <c r="F41" s="28">
        <f t="shared" si="4"/>
        <v>86</v>
      </c>
      <c r="G41" s="18">
        <v>9</v>
      </c>
      <c r="H41" s="18" t="s">
        <v>18</v>
      </c>
      <c r="I41" s="28"/>
      <c r="J41" s="3"/>
      <c r="K41" s="31"/>
    </row>
    <row r="42" spans="1:11" ht="15" x14ac:dyDescent="0.2">
      <c r="A42" s="138">
        <f t="shared" si="0"/>
        <v>27</v>
      </c>
      <c r="B42" s="177"/>
      <c r="C42" s="142" t="s">
        <v>105</v>
      </c>
      <c r="D42" s="178">
        <v>13</v>
      </c>
      <c r="E42" s="69">
        <f t="shared" si="3"/>
        <v>87</v>
      </c>
      <c r="F42" s="69">
        <f t="shared" si="4"/>
        <v>96</v>
      </c>
      <c r="G42" s="68">
        <v>10</v>
      </c>
      <c r="H42" s="68" t="s">
        <v>106</v>
      </c>
      <c r="I42" s="69"/>
      <c r="J42" s="140" t="s">
        <v>107</v>
      </c>
      <c r="K42" s="179" t="s">
        <v>1350</v>
      </c>
    </row>
    <row r="43" spans="1:11" ht="15" x14ac:dyDescent="0.2">
      <c r="A43" s="138">
        <f t="shared" si="0"/>
        <v>28</v>
      </c>
      <c r="B43" s="177"/>
      <c r="C43" s="142" t="s">
        <v>109</v>
      </c>
      <c r="D43" s="178">
        <v>14</v>
      </c>
      <c r="E43" s="69">
        <f t="shared" si="3"/>
        <v>97</v>
      </c>
      <c r="F43" s="69">
        <f t="shared" si="4"/>
        <v>106</v>
      </c>
      <c r="G43" s="68">
        <v>10</v>
      </c>
      <c r="H43" s="68" t="s">
        <v>106</v>
      </c>
      <c r="I43" s="69"/>
      <c r="J43" s="140" t="s">
        <v>107</v>
      </c>
      <c r="K43" s="179" t="s">
        <v>1351</v>
      </c>
    </row>
    <row r="44" spans="1:11" ht="15" x14ac:dyDescent="0.2">
      <c r="A44" s="2">
        <f t="shared" si="0"/>
        <v>29</v>
      </c>
      <c r="B44" s="13"/>
      <c r="C44" s="30" t="s">
        <v>111</v>
      </c>
      <c r="D44" s="55">
        <v>15</v>
      </c>
      <c r="E44" s="28">
        <f t="shared" si="3"/>
        <v>107</v>
      </c>
      <c r="F44" s="28">
        <f t="shared" si="4"/>
        <v>107</v>
      </c>
      <c r="G44" s="18">
        <v>1</v>
      </c>
      <c r="H44" s="18" t="s">
        <v>18</v>
      </c>
      <c r="I44" s="28"/>
      <c r="J44" s="3"/>
      <c r="K44" s="31" t="s">
        <v>112</v>
      </c>
    </row>
    <row r="45" spans="1:11" ht="25.5" x14ac:dyDescent="0.2">
      <c r="A45" s="2">
        <f t="shared" si="0"/>
        <v>30</v>
      </c>
      <c r="B45" s="13"/>
      <c r="C45" s="30" t="s">
        <v>113</v>
      </c>
      <c r="D45" s="55">
        <v>16</v>
      </c>
      <c r="E45" s="28">
        <f t="shared" si="3"/>
        <v>108</v>
      </c>
      <c r="F45" s="28">
        <f t="shared" si="4"/>
        <v>114</v>
      </c>
      <c r="G45" s="18">
        <v>7</v>
      </c>
      <c r="H45" s="18" t="s">
        <v>18</v>
      </c>
      <c r="I45" s="28"/>
      <c r="J45" s="3"/>
      <c r="K45" s="31" t="s">
        <v>114</v>
      </c>
    </row>
    <row r="46" spans="1:11" ht="15" x14ac:dyDescent="0.2">
      <c r="A46" s="2">
        <f t="shared" si="0"/>
        <v>31</v>
      </c>
      <c r="B46" s="13"/>
      <c r="C46" s="30" t="s">
        <v>115</v>
      </c>
      <c r="D46" s="55">
        <v>25</v>
      </c>
      <c r="E46" s="28">
        <f t="shared" si="3"/>
        <v>115</v>
      </c>
      <c r="F46" s="28">
        <f t="shared" si="4"/>
        <v>115</v>
      </c>
      <c r="G46" s="18">
        <v>1</v>
      </c>
      <c r="H46" s="18" t="s">
        <v>18</v>
      </c>
      <c r="I46" s="28"/>
      <c r="J46" s="3"/>
      <c r="K46" s="31" t="s">
        <v>116</v>
      </c>
    </row>
    <row r="47" spans="1:11" ht="127.5" x14ac:dyDescent="0.2">
      <c r="A47" s="2">
        <f t="shared" si="0"/>
        <v>32</v>
      </c>
      <c r="B47" s="13"/>
      <c r="C47" s="30" t="s">
        <v>1352</v>
      </c>
      <c r="D47" s="55">
        <v>26</v>
      </c>
      <c r="E47" s="28">
        <f t="shared" si="3"/>
        <v>116</v>
      </c>
      <c r="F47" s="28">
        <f t="shared" si="4"/>
        <v>116</v>
      </c>
      <c r="G47" s="18">
        <v>1</v>
      </c>
      <c r="H47" s="18" t="s">
        <v>18</v>
      </c>
      <c r="I47" s="28"/>
      <c r="J47" s="3"/>
      <c r="K47" s="31" t="s">
        <v>1353</v>
      </c>
    </row>
    <row r="48" spans="1:11" ht="15" x14ac:dyDescent="0.2">
      <c r="A48" s="2">
        <f t="shared" si="0"/>
        <v>33</v>
      </c>
      <c r="B48" s="13"/>
      <c r="C48" s="30" t="s">
        <v>118</v>
      </c>
      <c r="D48" s="55">
        <v>29</v>
      </c>
      <c r="E48" s="28">
        <f t="shared" si="3"/>
        <v>117</v>
      </c>
      <c r="F48" s="28">
        <f t="shared" si="4"/>
        <v>117</v>
      </c>
      <c r="G48" s="18">
        <v>1</v>
      </c>
      <c r="H48" s="18" t="s">
        <v>18</v>
      </c>
      <c r="I48" s="28"/>
      <c r="J48" s="3"/>
      <c r="K48" s="31" t="s">
        <v>1354</v>
      </c>
    </row>
    <row r="49" spans="1:11" ht="51" x14ac:dyDescent="0.2">
      <c r="A49" s="2">
        <f t="shared" si="0"/>
        <v>34</v>
      </c>
      <c r="B49" s="13"/>
      <c r="C49" s="30" t="s">
        <v>119</v>
      </c>
      <c r="D49" s="55" t="s">
        <v>120</v>
      </c>
      <c r="E49" s="28">
        <f t="shared" si="3"/>
        <v>118</v>
      </c>
      <c r="F49" s="28">
        <f t="shared" si="4"/>
        <v>118</v>
      </c>
      <c r="G49" s="18">
        <v>1</v>
      </c>
      <c r="H49" s="18" t="s">
        <v>18</v>
      </c>
      <c r="I49" s="28"/>
      <c r="J49" s="3"/>
      <c r="K49" s="31" t="s">
        <v>121</v>
      </c>
    </row>
    <row r="50" spans="1:11" ht="15" x14ac:dyDescent="0.2">
      <c r="A50" s="2">
        <f t="shared" si="0"/>
        <v>35</v>
      </c>
      <c r="B50" s="13"/>
      <c r="C50" s="30" t="s">
        <v>122</v>
      </c>
      <c r="D50" s="55" t="s">
        <v>123</v>
      </c>
      <c r="E50" s="28">
        <f t="shared" si="3"/>
        <v>119</v>
      </c>
      <c r="F50" s="28">
        <f t="shared" si="4"/>
        <v>138</v>
      </c>
      <c r="G50" s="18">
        <v>20</v>
      </c>
      <c r="H50" s="18" t="s">
        <v>15</v>
      </c>
      <c r="I50" s="28"/>
      <c r="J50" s="3"/>
      <c r="K50" s="31" t="s">
        <v>124</v>
      </c>
    </row>
    <row r="51" spans="1:11" ht="15" x14ac:dyDescent="0.2">
      <c r="A51" s="138">
        <f t="shared" si="0"/>
        <v>36</v>
      </c>
      <c r="B51" s="177"/>
      <c r="C51" s="142" t="s">
        <v>125</v>
      </c>
      <c r="D51" s="178" t="s">
        <v>126</v>
      </c>
      <c r="E51" s="69">
        <f t="shared" si="3"/>
        <v>139</v>
      </c>
      <c r="F51" s="69">
        <f t="shared" si="4"/>
        <v>146</v>
      </c>
      <c r="G51" s="68">
        <v>8</v>
      </c>
      <c r="H51" s="68" t="s">
        <v>127</v>
      </c>
      <c r="I51" s="69"/>
      <c r="J51" s="140" t="s">
        <v>128</v>
      </c>
      <c r="K51" s="179" t="s">
        <v>1351</v>
      </c>
    </row>
    <row r="52" spans="1:11" ht="38.25" x14ac:dyDescent="0.2">
      <c r="A52" s="2">
        <f t="shared" si="0"/>
        <v>37</v>
      </c>
      <c r="B52" s="13"/>
      <c r="C52" s="30" t="s">
        <v>129</v>
      </c>
      <c r="D52" s="55">
        <v>27</v>
      </c>
      <c r="E52" s="28">
        <f t="shared" si="3"/>
        <v>147</v>
      </c>
      <c r="F52" s="28">
        <f t="shared" si="4"/>
        <v>147</v>
      </c>
      <c r="G52" s="18">
        <v>1</v>
      </c>
      <c r="H52" s="18" t="s">
        <v>18</v>
      </c>
      <c r="I52" s="28"/>
      <c r="J52" s="3"/>
      <c r="K52" s="31" t="s">
        <v>130</v>
      </c>
    </row>
    <row r="53" spans="1:11" ht="25.5" x14ac:dyDescent="0.2">
      <c r="A53" s="2">
        <f t="shared" si="0"/>
        <v>38</v>
      </c>
      <c r="B53" s="13"/>
      <c r="C53" s="30" t="s">
        <v>131</v>
      </c>
      <c r="D53" s="55" t="s">
        <v>132</v>
      </c>
      <c r="E53" s="28">
        <f t="shared" si="3"/>
        <v>148</v>
      </c>
      <c r="F53" s="28">
        <f t="shared" si="4"/>
        <v>157</v>
      </c>
      <c r="G53" s="18">
        <v>10</v>
      </c>
      <c r="H53" s="18" t="s">
        <v>106</v>
      </c>
      <c r="I53" s="28"/>
      <c r="J53" s="3" t="s">
        <v>1355</v>
      </c>
      <c r="K53" s="31"/>
    </row>
    <row r="54" spans="1:11" ht="15" x14ac:dyDescent="0.2">
      <c r="A54" s="2">
        <f t="shared" si="0"/>
        <v>39</v>
      </c>
      <c r="B54" s="13"/>
      <c r="C54" s="30" t="s">
        <v>135</v>
      </c>
      <c r="D54" s="55" t="s">
        <v>136</v>
      </c>
      <c r="E54" s="28">
        <f t="shared" si="3"/>
        <v>158</v>
      </c>
      <c r="F54" s="28">
        <f t="shared" si="4"/>
        <v>413</v>
      </c>
      <c r="G54" s="18">
        <v>256</v>
      </c>
      <c r="H54" s="18" t="s">
        <v>15</v>
      </c>
      <c r="I54" s="28"/>
      <c r="J54" s="3"/>
      <c r="K54" s="31"/>
    </row>
    <row r="55" spans="1:11" ht="25.5" x14ac:dyDescent="0.2">
      <c r="A55" s="138">
        <v>40</v>
      </c>
      <c r="B55" s="177"/>
      <c r="C55" s="142" t="s">
        <v>137</v>
      </c>
      <c r="D55" s="178" t="s">
        <v>138</v>
      </c>
      <c r="E55" s="69">
        <v>414</v>
      </c>
      <c r="F55" s="69">
        <v>432</v>
      </c>
      <c r="G55" s="68">
        <v>19</v>
      </c>
      <c r="H55" s="68" t="s">
        <v>106</v>
      </c>
      <c r="I55" s="69"/>
      <c r="J55" s="140" t="s">
        <v>1355</v>
      </c>
      <c r="K55" s="179" t="s">
        <v>1356</v>
      </c>
    </row>
    <row r="56" spans="1:11" ht="25.5" x14ac:dyDescent="0.2">
      <c r="A56" s="138">
        <v>41</v>
      </c>
      <c r="B56" s="177"/>
      <c r="C56" s="180" t="s">
        <v>140</v>
      </c>
      <c r="D56" s="178" t="s">
        <v>141</v>
      </c>
      <c r="E56" s="69">
        <v>433</v>
      </c>
      <c r="F56" s="69">
        <v>451</v>
      </c>
      <c r="G56" s="68">
        <v>19</v>
      </c>
      <c r="H56" s="68" t="s">
        <v>106</v>
      </c>
      <c r="I56" s="69"/>
      <c r="J56" s="140" t="s">
        <v>1355</v>
      </c>
      <c r="K56" s="179" t="s">
        <v>1356</v>
      </c>
    </row>
    <row r="57" spans="1:11" ht="38.25" x14ac:dyDescent="0.2">
      <c r="A57" s="138">
        <v>42</v>
      </c>
      <c r="B57" s="177"/>
      <c r="C57" s="180" t="s">
        <v>1357</v>
      </c>
      <c r="D57" s="178" t="s">
        <v>143</v>
      </c>
      <c r="E57" s="69">
        <v>452</v>
      </c>
      <c r="F57" s="69">
        <v>452</v>
      </c>
      <c r="G57" s="68">
        <v>1</v>
      </c>
      <c r="H57" s="68" t="s">
        <v>18</v>
      </c>
      <c r="I57" s="69"/>
      <c r="J57" s="140"/>
      <c r="K57" s="179" t="s">
        <v>1358</v>
      </c>
    </row>
    <row r="58" spans="1:11" ht="25.5" x14ac:dyDescent="0.2">
      <c r="A58" s="138">
        <v>43</v>
      </c>
      <c r="B58" s="177"/>
      <c r="C58" s="142" t="s">
        <v>145</v>
      </c>
      <c r="D58" s="178" t="s">
        <v>146</v>
      </c>
      <c r="E58" s="69">
        <v>453</v>
      </c>
      <c r="F58" s="69">
        <v>453</v>
      </c>
      <c r="G58" s="68">
        <v>1</v>
      </c>
      <c r="H58" s="68" t="s">
        <v>18</v>
      </c>
      <c r="I58" s="69"/>
      <c r="J58" s="140"/>
      <c r="K58" s="179" t="s">
        <v>1359</v>
      </c>
    </row>
    <row r="59" spans="1:11" ht="76.5" x14ac:dyDescent="0.2">
      <c r="A59" s="138">
        <v>44</v>
      </c>
      <c r="B59" s="177"/>
      <c r="C59" s="142" t="s">
        <v>1360</v>
      </c>
      <c r="D59" s="178" t="s">
        <v>149</v>
      </c>
      <c r="E59" s="69">
        <v>454</v>
      </c>
      <c r="F59" s="69">
        <v>454</v>
      </c>
      <c r="G59" s="68">
        <v>1</v>
      </c>
      <c r="H59" s="68" t="s">
        <v>18</v>
      </c>
      <c r="I59" s="69"/>
      <c r="J59" s="140"/>
      <c r="K59" s="179" t="s">
        <v>1361</v>
      </c>
    </row>
    <row r="60" spans="1:11" x14ac:dyDescent="0.2">
      <c r="A60" s="2">
        <v>45</v>
      </c>
      <c r="B60" s="10"/>
      <c r="C60" s="10" t="s">
        <v>28</v>
      </c>
      <c r="D60" s="29" t="s">
        <v>14</v>
      </c>
      <c r="E60" s="28">
        <v>455</v>
      </c>
      <c r="F60" s="28">
        <v>600</v>
      </c>
      <c r="G60" s="28">
        <v>146</v>
      </c>
      <c r="H60" s="28" t="s">
        <v>15</v>
      </c>
      <c r="I60" s="28"/>
      <c r="J60" s="3"/>
      <c r="K60" s="3" t="s">
        <v>29</v>
      </c>
    </row>
    <row r="61" spans="1:11" x14ac:dyDescent="0.2">
      <c r="A61" s="2">
        <v>46</v>
      </c>
      <c r="B61" s="159" t="s">
        <v>153</v>
      </c>
      <c r="C61" s="158"/>
      <c r="D61" s="29" t="s">
        <v>14</v>
      </c>
      <c r="E61" s="28">
        <f>$F$16+1</f>
        <v>7</v>
      </c>
      <c r="F61" s="28">
        <f>G61+$F$16</f>
        <v>9</v>
      </c>
      <c r="G61" s="28">
        <v>3</v>
      </c>
      <c r="H61" s="28" t="s">
        <v>18</v>
      </c>
      <c r="I61" s="28"/>
      <c r="J61" s="3"/>
      <c r="K61" s="158" t="s">
        <v>154</v>
      </c>
    </row>
    <row r="62" spans="1:11" x14ac:dyDescent="0.2">
      <c r="A62" s="2">
        <v>47</v>
      </c>
      <c r="B62" s="10"/>
      <c r="C62" s="10" t="s">
        <v>28</v>
      </c>
      <c r="D62" s="29" t="s">
        <v>14</v>
      </c>
      <c r="E62" s="28">
        <f>F61+1</f>
        <v>10</v>
      </c>
      <c r="F62" s="28">
        <v>600</v>
      </c>
      <c r="G62" s="28">
        <f>F62-F61</f>
        <v>591</v>
      </c>
      <c r="H62" s="28" t="s">
        <v>15</v>
      </c>
      <c r="I62" s="28"/>
      <c r="J62" s="3"/>
      <c r="K62" s="3" t="s">
        <v>29</v>
      </c>
    </row>
    <row r="63" spans="1:11" x14ac:dyDescent="0.2">
      <c r="A63" s="2">
        <v>48</v>
      </c>
      <c r="B63" s="159" t="s">
        <v>155</v>
      </c>
      <c r="C63" s="158"/>
      <c r="D63" s="29" t="s">
        <v>14</v>
      </c>
      <c r="E63" s="28">
        <f>$F$16+1</f>
        <v>7</v>
      </c>
      <c r="F63" s="28">
        <f>G63+$F$16</f>
        <v>9</v>
      </c>
      <c r="G63" s="28">
        <v>3</v>
      </c>
      <c r="H63" s="28" t="s">
        <v>18</v>
      </c>
      <c r="I63" s="28"/>
      <c r="J63" s="3"/>
      <c r="K63" s="158" t="s">
        <v>156</v>
      </c>
    </row>
    <row r="64" spans="1:11" x14ac:dyDescent="0.2">
      <c r="A64" s="2">
        <v>49</v>
      </c>
      <c r="B64" s="10"/>
      <c r="C64" s="10" t="s">
        <v>28</v>
      </c>
      <c r="D64" s="29" t="s">
        <v>14</v>
      </c>
      <c r="E64" s="28">
        <f>F63+1</f>
        <v>10</v>
      </c>
      <c r="F64" s="28">
        <v>600</v>
      </c>
      <c r="G64" s="28">
        <f>F64-F63</f>
        <v>591</v>
      </c>
      <c r="H64" s="28" t="s">
        <v>15</v>
      </c>
      <c r="I64" s="28"/>
      <c r="J64" s="3"/>
      <c r="K64" s="3" t="s">
        <v>29</v>
      </c>
    </row>
    <row r="65" spans="1:11" x14ac:dyDescent="0.2">
      <c r="A65" s="2">
        <v>50</v>
      </c>
      <c r="B65" s="139" t="s">
        <v>157</v>
      </c>
      <c r="C65" s="140"/>
      <c r="D65" s="141"/>
      <c r="E65" s="69"/>
      <c r="F65" s="69"/>
      <c r="G65" s="69"/>
      <c r="H65" s="69"/>
      <c r="I65" s="69"/>
      <c r="J65" s="140"/>
      <c r="K65" s="140"/>
    </row>
    <row r="66" spans="1:11" x14ac:dyDescent="0.2">
      <c r="A66" s="2">
        <v>51</v>
      </c>
      <c r="B66" s="159" t="s">
        <v>158</v>
      </c>
      <c r="C66" s="158"/>
      <c r="D66" s="29" t="s">
        <v>14</v>
      </c>
      <c r="E66" s="28">
        <f>$F$16+1</f>
        <v>7</v>
      </c>
      <c r="F66" s="28">
        <f>G66+$F$16</f>
        <v>9</v>
      </c>
      <c r="G66" s="28">
        <v>3</v>
      </c>
      <c r="H66" s="28" t="s">
        <v>18</v>
      </c>
      <c r="I66" s="28"/>
      <c r="J66" s="3"/>
      <c r="K66" s="158" t="s">
        <v>159</v>
      </c>
    </row>
    <row r="67" spans="1:11" ht="15" x14ac:dyDescent="0.2">
      <c r="A67" s="2">
        <f t="shared" ref="A67:A98" si="5">A66+1</f>
        <v>52</v>
      </c>
      <c r="B67" s="13"/>
      <c r="C67" s="10" t="s">
        <v>160</v>
      </c>
      <c r="D67" s="55">
        <v>31</v>
      </c>
      <c r="E67" s="28">
        <f t="shared" ref="E67:E86" si="6">F66+1</f>
        <v>10</v>
      </c>
      <c r="F67" s="28">
        <f t="shared" ref="F67:F86" si="7">F66+G67</f>
        <v>23</v>
      </c>
      <c r="G67" s="18">
        <v>14</v>
      </c>
      <c r="H67" s="18" t="s">
        <v>15</v>
      </c>
      <c r="I67" s="28"/>
      <c r="J67" s="3"/>
      <c r="K67" s="31"/>
    </row>
    <row r="68" spans="1:11" ht="15" x14ac:dyDescent="0.2">
      <c r="A68" s="2">
        <f t="shared" si="5"/>
        <v>53</v>
      </c>
      <c r="B68" s="13"/>
      <c r="C68" s="10" t="s">
        <v>161</v>
      </c>
      <c r="D68" s="55" t="s">
        <v>162</v>
      </c>
      <c r="E68" s="28">
        <f t="shared" si="6"/>
        <v>24</v>
      </c>
      <c r="F68" s="28">
        <f t="shared" si="7"/>
        <v>34</v>
      </c>
      <c r="G68" s="18">
        <v>11</v>
      </c>
      <c r="H68" s="18" t="s">
        <v>15</v>
      </c>
      <c r="I68" s="28"/>
      <c r="J68" s="3"/>
      <c r="K68" s="31"/>
    </row>
    <row r="69" spans="1:11" ht="15" x14ac:dyDescent="0.2">
      <c r="A69" s="2">
        <f t="shared" si="5"/>
        <v>54</v>
      </c>
      <c r="B69" s="13"/>
      <c r="C69" s="10" t="s">
        <v>163</v>
      </c>
      <c r="D69" s="55">
        <v>32</v>
      </c>
      <c r="E69" s="28">
        <f t="shared" si="6"/>
        <v>35</v>
      </c>
      <c r="F69" s="28">
        <f t="shared" si="7"/>
        <v>94</v>
      </c>
      <c r="G69" s="18">
        <v>60</v>
      </c>
      <c r="H69" s="18" t="s">
        <v>15</v>
      </c>
      <c r="I69" s="28"/>
      <c r="J69" s="3"/>
      <c r="K69" s="31"/>
    </row>
    <row r="70" spans="1:11" ht="15" x14ac:dyDescent="0.2">
      <c r="A70" s="2">
        <f t="shared" si="5"/>
        <v>55</v>
      </c>
      <c r="B70" s="13"/>
      <c r="C70" s="10" t="s">
        <v>164</v>
      </c>
      <c r="D70" s="55">
        <v>33</v>
      </c>
      <c r="E70" s="28">
        <f t="shared" si="6"/>
        <v>95</v>
      </c>
      <c r="F70" s="28">
        <f t="shared" si="7"/>
        <v>154</v>
      </c>
      <c r="G70" s="18">
        <v>60</v>
      </c>
      <c r="H70" s="18" t="s">
        <v>15</v>
      </c>
      <c r="I70" s="28"/>
      <c r="J70" s="3"/>
      <c r="K70" s="31"/>
    </row>
    <row r="71" spans="1:11" ht="15" x14ac:dyDescent="0.2">
      <c r="A71" s="2">
        <f t="shared" si="5"/>
        <v>56</v>
      </c>
      <c r="B71" s="13"/>
      <c r="C71" s="10" t="s">
        <v>165</v>
      </c>
      <c r="D71" s="55">
        <v>35</v>
      </c>
      <c r="E71" s="28">
        <f t="shared" si="6"/>
        <v>155</v>
      </c>
      <c r="F71" s="28">
        <f t="shared" si="7"/>
        <v>214</v>
      </c>
      <c r="G71" s="18">
        <v>60</v>
      </c>
      <c r="H71" s="18" t="s">
        <v>15</v>
      </c>
      <c r="I71" s="28"/>
      <c r="J71" s="3"/>
      <c r="K71" s="31"/>
    </row>
    <row r="72" spans="1:11" ht="15" x14ac:dyDescent="0.2">
      <c r="A72" s="2">
        <f t="shared" si="5"/>
        <v>57</v>
      </c>
      <c r="B72" s="13"/>
      <c r="C72" s="10" t="s">
        <v>166</v>
      </c>
      <c r="D72" s="55">
        <v>36</v>
      </c>
      <c r="E72" s="28">
        <f t="shared" si="6"/>
        <v>215</v>
      </c>
      <c r="F72" s="28">
        <f t="shared" si="7"/>
        <v>274</v>
      </c>
      <c r="G72" s="18">
        <v>60</v>
      </c>
      <c r="H72" s="18" t="s">
        <v>15</v>
      </c>
      <c r="I72" s="28"/>
      <c r="J72" s="3"/>
      <c r="K72" s="31"/>
    </row>
    <row r="73" spans="1:11" ht="15" x14ac:dyDescent="0.2">
      <c r="A73" s="2">
        <f t="shared" si="5"/>
        <v>58</v>
      </c>
      <c r="B73" s="13"/>
      <c r="C73" s="10" t="s">
        <v>167</v>
      </c>
      <c r="D73" s="55">
        <v>37</v>
      </c>
      <c r="E73" s="28">
        <f t="shared" si="6"/>
        <v>275</v>
      </c>
      <c r="F73" s="28">
        <f t="shared" si="7"/>
        <v>334</v>
      </c>
      <c r="G73" s="18">
        <v>60</v>
      </c>
      <c r="H73" s="18" t="s">
        <v>15</v>
      </c>
      <c r="I73" s="28"/>
      <c r="J73" s="3"/>
      <c r="K73" s="31"/>
    </row>
    <row r="74" spans="1:11" ht="15" x14ac:dyDescent="0.2">
      <c r="A74" s="2">
        <f t="shared" si="5"/>
        <v>59</v>
      </c>
      <c r="B74" s="13"/>
      <c r="C74" s="10" t="s">
        <v>168</v>
      </c>
      <c r="D74" s="55">
        <v>38</v>
      </c>
      <c r="E74" s="28">
        <f t="shared" si="6"/>
        <v>335</v>
      </c>
      <c r="F74" s="28">
        <f t="shared" si="7"/>
        <v>394</v>
      </c>
      <c r="G74" s="18">
        <v>60</v>
      </c>
      <c r="H74" s="18" t="s">
        <v>15</v>
      </c>
      <c r="I74" s="28"/>
      <c r="J74" s="3"/>
      <c r="K74" s="31"/>
    </row>
    <row r="75" spans="1:11" ht="15" x14ac:dyDescent="0.2">
      <c r="A75" s="2">
        <f t="shared" si="5"/>
        <v>60</v>
      </c>
      <c r="B75" s="13"/>
      <c r="C75" s="10" t="s">
        <v>113</v>
      </c>
      <c r="D75" s="55">
        <v>39</v>
      </c>
      <c r="E75" s="28">
        <f t="shared" si="6"/>
        <v>395</v>
      </c>
      <c r="F75" s="28">
        <f t="shared" si="7"/>
        <v>401</v>
      </c>
      <c r="G75" s="18">
        <v>7</v>
      </c>
      <c r="H75" s="18" t="s">
        <v>18</v>
      </c>
      <c r="I75" s="28"/>
      <c r="J75" s="3"/>
      <c r="K75" s="31" t="s">
        <v>169</v>
      </c>
    </row>
    <row r="76" spans="1:11" ht="15" x14ac:dyDescent="0.2">
      <c r="A76" s="2">
        <f t="shared" si="5"/>
        <v>61</v>
      </c>
      <c r="B76" s="13"/>
      <c r="C76" s="10" t="s">
        <v>170</v>
      </c>
      <c r="D76" s="55">
        <v>40</v>
      </c>
      <c r="E76" s="28">
        <f t="shared" si="6"/>
        <v>402</v>
      </c>
      <c r="F76" s="28">
        <f t="shared" si="7"/>
        <v>461</v>
      </c>
      <c r="G76" s="18">
        <v>60</v>
      </c>
      <c r="H76" s="18" t="s">
        <v>15</v>
      </c>
      <c r="I76" s="28"/>
      <c r="J76" s="3"/>
      <c r="K76" s="31" t="s">
        <v>171</v>
      </c>
    </row>
    <row r="77" spans="1:11" ht="15" x14ac:dyDescent="0.2">
      <c r="A77" s="2">
        <f t="shared" si="5"/>
        <v>62</v>
      </c>
      <c r="B77" s="13"/>
      <c r="C77" s="10" t="s">
        <v>172</v>
      </c>
      <c r="D77" s="55">
        <v>41</v>
      </c>
      <c r="E77" s="28">
        <f t="shared" si="6"/>
        <v>462</v>
      </c>
      <c r="F77" s="28">
        <f t="shared" si="7"/>
        <v>463</v>
      </c>
      <c r="G77" s="18">
        <v>2</v>
      </c>
      <c r="H77" s="18" t="s">
        <v>15</v>
      </c>
      <c r="I77" s="28"/>
      <c r="J77" s="3"/>
      <c r="K77" s="31" t="s">
        <v>173</v>
      </c>
    </row>
    <row r="78" spans="1:11" ht="15" x14ac:dyDescent="0.2">
      <c r="A78" s="2">
        <f t="shared" si="5"/>
        <v>63</v>
      </c>
      <c r="B78" s="13"/>
      <c r="C78" s="10" t="s">
        <v>174</v>
      </c>
      <c r="D78" s="55">
        <v>42</v>
      </c>
      <c r="E78" s="28">
        <f t="shared" si="6"/>
        <v>464</v>
      </c>
      <c r="F78" s="28">
        <f t="shared" si="7"/>
        <v>471</v>
      </c>
      <c r="G78" s="18">
        <v>8</v>
      </c>
      <c r="H78" s="18" t="s">
        <v>18</v>
      </c>
      <c r="I78" s="28"/>
      <c r="J78" s="3"/>
      <c r="K78" s="31" t="s">
        <v>175</v>
      </c>
    </row>
    <row r="79" spans="1:11" ht="15" x14ac:dyDescent="0.2">
      <c r="A79" s="2">
        <f t="shared" si="5"/>
        <v>64</v>
      </c>
      <c r="B79" s="13"/>
      <c r="C79" s="10" t="s">
        <v>176</v>
      </c>
      <c r="D79" s="55">
        <v>43</v>
      </c>
      <c r="E79" s="28">
        <f t="shared" si="6"/>
        <v>472</v>
      </c>
      <c r="F79" s="28">
        <f t="shared" si="7"/>
        <v>475</v>
      </c>
      <c r="G79" s="18">
        <v>4</v>
      </c>
      <c r="H79" s="18" t="s">
        <v>18</v>
      </c>
      <c r="I79" s="28"/>
      <c r="J79" s="3"/>
      <c r="K79" s="31"/>
    </row>
    <row r="80" spans="1:11" ht="15" x14ac:dyDescent="0.2">
      <c r="A80" s="2">
        <f t="shared" si="5"/>
        <v>65</v>
      </c>
      <c r="B80" s="13"/>
      <c r="C80" s="10" t="s">
        <v>177</v>
      </c>
      <c r="D80" s="55">
        <v>44</v>
      </c>
      <c r="E80" s="28">
        <f t="shared" si="6"/>
        <v>476</v>
      </c>
      <c r="F80" s="28">
        <f t="shared" si="7"/>
        <v>535</v>
      </c>
      <c r="G80" s="18">
        <v>60</v>
      </c>
      <c r="H80" s="18" t="s">
        <v>15</v>
      </c>
      <c r="I80" s="28"/>
      <c r="J80" s="3"/>
      <c r="K80" s="31"/>
    </row>
    <row r="81" spans="1:11" ht="51" x14ac:dyDescent="0.2">
      <c r="A81" s="2">
        <f t="shared" si="5"/>
        <v>66</v>
      </c>
      <c r="B81" s="13"/>
      <c r="C81" s="10" t="s">
        <v>178</v>
      </c>
      <c r="D81" s="55">
        <v>45</v>
      </c>
      <c r="E81" s="28">
        <f t="shared" si="6"/>
        <v>536</v>
      </c>
      <c r="F81" s="28">
        <f t="shared" si="7"/>
        <v>549</v>
      </c>
      <c r="G81" s="18">
        <v>14</v>
      </c>
      <c r="H81" s="18" t="s">
        <v>18</v>
      </c>
      <c r="I81" s="28"/>
      <c r="J81" s="3"/>
      <c r="K81" s="31" t="s">
        <v>179</v>
      </c>
    </row>
    <row r="82" spans="1:11" ht="102" x14ac:dyDescent="0.2">
      <c r="A82" s="2">
        <f t="shared" si="5"/>
        <v>67</v>
      </c>
      <c r="B82" s="13"/>
      <c r="C82" s="10" t="s">
        <v>180</v>
      </c>
      <c r="D82" s="55">
        <v>46</v>
      </c>
      <c r="E82" s="28">
        <f t="shared" si="6"/>
        <v>550</v>
      </c>
      <c r="F82" s="28">
        <f t="shared" si="7"/>
        <v>563</v>
      </c>
      <c r="G82" s="18">
        <v>14</v>
      </c>
      <c r="H82" s="18" t="s">
        <v>15</v>
      </c>
      <c r="I82" s="28"/>
      <c r="J82" s="3"/>
      <c r="K82" s="31" t="s">
        <v>181</v>
      </c>
    </row>
    <row r="83" spans="1:11" ht="25.5" x14ac:dyDescent="0.2">
      <c r="A83" s="2">
        <f t="shared" si="5"/>
        <v>68</v>
      </c>
      <c r="B83" s="13"/>
      <c r="C83" s="10" t="s">
        <v>182</v>
      </c>
      <c r="D83" s="55">
        <v>47</v>
      </c>
      <c r="E83" s="28">
        <f t="shared" si="6"/>
        <v>564</v>
      </c>
      <c r="F83" s="28">
        <f t="shared" si="7"/>
        <v>577</v>
      </c>
      <c r="G83" s="18">
        <v>14</v>
      </c>
      <c r="H83" s="18" t="s">
        <v>15</v>
      </c>
      <c r="I83" s="28"/>
      <c r="J83" s="3"/>
      <c r="K83" s="31" t="s">
        <v>183</v>
      </c>
    </row>
    <row r="84" spans="1:11" ht="38.25" x14ac:dyDescent="0.2">
      <c r="A84" s="2">
        <f t="shared" si="5"/>
        <v>69</v>
      </c>
      <c r="B84" s="13"/>
      <c r="C84" s="10" t="s">
        <v>184</v>
      </c>
      <c r="D84" s="55">
        <v>48</v>
      </c>
      <c r="E84" s="28">
        <f t="shared" si="6"/>
        <v>578</v>
      </c>
      <c r="F84" s="28">
        <f t="shared" si="7"/>
        <v>592</v>
      </c>
      <c r="G84" s="18">
        <v>15</v>
      </c>
      <c r="H84" s="18" t="s">
        <v>15</v>
      </c>
      <c r="I84" s="28"/>
      <c r="J84" s="3"/>
      <c r="K84" s="31" t="s">
        <v>185</v>
      </c>
    </row>
    <row r="85" spans="1:11" ht="25.5" x14ac:dyDescent="0.2">
      <c r="A85" s="2">
        <f t="shared" si="5"/>
        <v>70</v>
      </c>
      <c r="B85" s="13"/>
      <c r="C85" s="10" t="s">
        <v>186</v>
      </c>
      <c r="D85" s="55">
        <v>49</v>
      </c>
      <c r="E85" s="28">
        <f t="shared" si="6"/>
        <v>593</v>
      </c>
      <c r="F85" s="28">
        <f t="shared" si="7"/>
        <v>599</v>
      </c>
      <c r="G85" s="18">
        <v>7</v>
      </c>
      <c r="H85" s="18" t="s">
        <v>15</v>
      </c>
      <c r="I85" s="28"/>
      <c r="J85" s="3"/>
      <c r="K85" s="31" t="s">
        <v>187</v>
      </c>
    </row>
    <row r="86" spans="1:11" ht="51" x14ac:dyDescent="0.2">
      <c r="A86" s="10">
        <f t="shared" si="5"/>
        <v>71</v>
      </c>
      <c r="B86" s="10"/>
      <c r="C86" s="10" t="s">
        <v>188</v>
      </c>
      <c r="D86" s="55" t="s">
        <v>189</v>
      </c>
      <c r="E86" s="28">
        <f t="shared" si="6"/>
        <v>600</v>
      </c>
      <c r="F86" s="28">
        <f t="shared" si="7"/>
        <v>600</v>
      </c>
      <c r="G86" s="18">
        <v>1</v>
      </c>
      <c r="H86" s="18" t="s">
        <v>18</v>
      </c>
      <c r="I86" s="33"/>
      <c r="J86" s="34"/>
      <c r="K86" s="31" t="s">
        <v>190</v>
      </c>
    </row>
    <row r="87" spans="1:11" x14ac:dyDescent="0.2">
      <c r="A87" s="2">
        <f t="shared" si="5"/>
        <v>72</v>
      </c>
      <c r="B87" s="159" t="s">
        <v>191</v>
      </c>
      <c r="C87" s="158"/>
      <c r="D87" s="29" t="s">
        <v>14</v>
      </c>
      <c r="E87" s="28">
        <f>$F$16+1</f>
        <v>7</v>
      </c>
      <c r="F87" s="28">
        <f>G87+$F$16</f>
        <v>9</v>
      </c>
      <c r="G87" s="28">
        <v>3</v>
      </c>
      <c r="H87" s="28" t="s">
        <v>18</v>
      </c>
      <c r="I87" s="28"/>
      <c r="J87" s="3"/>
      <c r="K87" s="158" t="s">
        <v>192</v>
      </c>
    </row>
    <row r="88" spans="1:11" ht="15" x14ac:dyDescent="0.2">
      <c r="A88" s="2">
        <f t="shared" si="5"/>
        <v>73</v>
      </c>
      <c r="B88" s="13"/>
      <c r="C88" s="10" t="s">
        <v>193</v>
      </c>
      <c r="D88" s="55">
        <v>63</v>
      </c>
      <c r="E88" s="28">
        <f t="shared" ref="E88:E105" si="8">F87+1</f>
        <v>10</v>
      </c>
      <c r="F88" s="28">
        <f t="shared" ref="F88:F105" si="9">F87+G88</f>
        <v>23</v>
      </c>
      <c r="G88" s="18">
        <v>14</v>
      </c>
      <c r="H88" s="18" t="s">
        <v>15</v>
      </c>
      <c r="I88" s="28"/>
      <c r="J88" s="3"/>
      <c r="K88" s="31"/>
    </row>
    <row r="89" spans="1:11" ht="15" x14ac:dyDescent="0.2">
      <c r="A89" s="2">
        <f t="shared" si="5"/>
        <v>74</v>
      </c>
      <c r="B89" s="13"/>
      <c r="C89" s="10" t="s">
        <v>195</v>
      </c>
      <c r="D89" s="55">
        <v>64</v>
      </c>
      <c r="E89" s="28">
        <f t="shared" si="8"/>
        <v>24</v>
      </c>
      <c r="F89" s="28">
        <f t="shared" si="9"/>
        <v>34</v>
      </c>
      <c r="G89" s="18">
        <v>11</v>
      </c>
      <c r="H89" s="18" t="s">
        <v>15</v>
      </c>
      <c r="I89" s="28"/>
      <c r="J89" s="3"/>
      <c r="K89" s="31"/>
    </row>
    <row r="90" spans="1:11" ht="15" x14ac:dyDescent="0.2">
      <c r="A90" s="2">
        <f t="shared" si="5"/>
        <v>75</v>
      </c>
      <c r="B90" s="13"/>
      <c r="C90" s="10" t="s">
        <v>197</v>
      </c>
      <c r="D90" s="55">
        <v>65</v>
      </c>
      <c r="E90" s="28">
        <f t="shared" si="8"/>
        <v>35</v>
      </c>
      <c r="F90" s="28">
        <f t="shared" si="9"/>
        <v>94</v>
      </c>
      <c r="G90" s="18">
        <v>60</v>
      </c>
      <c r="H90" s="18" t="s">
        <v>15</v>
      </c>
      <c r="I90" s="28"/>
      <c r="J90" s="3"/>
      <c r="K90" s="31"/>
    </row>
    <row r="91" spans="1:11" ht="15" x14ac:dyDescent="0.2">
      <c r="A91" s="2">
        <f t="shared" si="5"/>
        <v>76</v>
      </c>
      <c r="B91" s="13"/>
      <c r="C91" s="10" t="s">
        <v>199</v>
      </c>
      <c r="D91" s="55">
        <v>67</v>
      </c>
      <c r="E91" s="28">
        <f t="shared" si="8"/>
        <v>95</v>
      </c>
      <c r="F91" s="28">
        <f t="shared" si="9"/>
        <v>154</v>
      </c>
      <c r="G91" s="18">
        <v>60</v>
      </c>
      <c r="H91" s="18" t="s">
        <v>15</v>
      </c>
      <c r="I91" s="28"/>
      <c r="J91" s="3"/>
      <c r="K91" s="31"/>
    </row>
    <row r="92" spans="1:11" ht="15" x14ac:dyDescent="0.2">
      <c r="A92" s="2">
        <f t="shared" si="5"/>
        <v>77</v>
      </c>
      <c r="B92" s="13"/>
      <c r="C92" s="10" t="s">
        <v>166</v>
      </c>
      <c r="D92" s="55">
        <v>68</v>
      </c>
      <c r="E92" s="28">
        <f t="shared" si="8"/>
        <v>155</v>
      </c>
      <c r="F92" s="28">
        <f t="shared" si="9"/>
        <v>214</v>
      </c>
      <c r="G92" s="18">
        <v>60</v>
      </c>
      <c r="H92" s="18" t="s">
        <v>15</v>
      </c>
      <c r="I92" s="28"/>
      <c r="J92" s="3"/>
      <c r="K92" s="31"/>
    </row>
    <row r="93" spans="1:11" ht="15" x14ac:dyDescent="0.2">
      <c r="A93" s="2">
        <f t="shared" si="5"/>
        <v>78</v>
      </c>
      <c r="B93" s="13"/>
      <c r="C93" s="10" t="s">
        <v>167</v>
      </c>
      <c r="D93" s="55">
        <v>69</v>
      </c>
      <c r="E93" s="28">
        <f t="shared" si="8"/>
        <v>215</v>
      </c>
      <c r="F93" s="28">
        <f t="shared" si="9"/>
        <v>274</v>
      </c>
      <c r="G93" s="18">
        <v>60</v>
      </c>
      <c r="H93" s="18" t="s">
        <v>15</v>
      </c>
      <c r="I93" s="28"/>
      <c r="J93" s="3"/>
      <c r="K93" s="31"/>
    </row>
    <row r="94" spans="1:11" ht="15" x14ac:dyDescent="0.2">
      <c r="A94" s="2">
        <f t="shared" si="5"/>
        <v>79</v>
      </c>
      <c r="B94" s="13"/>
      <c r="C94" s="10" t="s">
        <v>168</v>
      </c>
      <c r="D94" s="55">
        <v>70</v>
      </c>
      <c r="E94" s="28">
        <f t="shared" si="8"/>
        <v>275</v>
      </c>
      <c r="F94" s="28">
        <f t="shared" si="9"/>
        <v>334</v>
      </c>
      <c r="G94" s="18">
        <v>60</v>
      </c>
      <c r="H94" s="18" t="s">
        <v>15</v>
      </c>
      <c r="I94" s="28"/>
      <c r="J94" s="3"/>
      <c r="K94" s="31"/>
    </row>
    <row r="95" spans="1:11" ht="15" x14ac:dyDescent="0.2">
      <c r="A95" s="2">
        <f t="shared" si="5"/>
        <v>80</v>
      </c>
      <c r="B95" s="13"/>
      <c r="C95" s="10" t="s">
        <v>200</v>
      </c>
      <c r="D95" s="55">
        <v>71</v>
      </c>
      <c r="E95" s="28">
        <f t="shared" si="8"/>
        <v>335</v>
      </c>
      <c r="F95" s="28">
        <f t="shared" si="9"/>
        <v>341</v>
      </c>
      <c r="G95" s="18">
        <v>7</v>
      </c>
      <c r="H95" s="18" t="s">
        <v>18</v>
      </c>
      <c r="I95" s="28"/>
      <c r="J95" s="3"/>
      <c r="K95" s="31" t="s">
        <v>169</v>
      </c>
    </row>
    <row r="96" spans="1:11" ht="15" x14ac:dyDescent="0.2">
      <c r="A96" s="2">
        <f t="shared" si="5"/>
        <v>81</v>
      </c>
      <c r="B96" s="13"/>
      <c r="C96" s="10" t="s">
        <v>170</v>
      </c>
      <c r="D96" s="55">
        <v>72</v>
      </c>
      <c r="E96" s="28">
        <f t="shared" si="8"/>
        <v>342</v>
      </c>
      <c r="F96" s="28">
        <f t="shared" si="9"/>
        <v>401</v>
      </c>
      <c r="G96" s="18">
        <v>60</v>
      </c>
      <c r="H96" s="18" t="s">
        <v>15</v>
      </c>
      <c r="I96" s="28"/>
      <c r="J96" s="3"/>
      <c r="K96" s="31" t="s">
        <v>171</v>
      </c>
    </row>
    <row r="97" spans="1:11" ht="15" x14ac:dyDescent="0.2">
      <c r="A97" s="2">
        <f t="shared" si="5"/>
        <v>82</v>
      </c>
      <c r="B97" s="13"/>
      <c r="C97" s="10" t="s">
        <v>172</v>
      </c>
      <c r="D97" s="55">
        <v>73</v>
      </c>
      <c r="E97" s="28">
        <f t="shared" si="8"/>
        <v>402</v>
      </c>
      <c r="F97" s="28">
        <f t="shared" si="9"/>
        <v>403</v>
      </c>
      <c r="G97" s="18">
        <v>2</v>
      </c>
      <c r="H97" s="18" t="s">
        <v>15</v>
      </c>
      <c r="I97" s="28"/>
      <c r="J97" s="3"/>
      <c r="K97" s="31" t="s">
        <v>173</v>
      </c>
    </row>
    <row r="98" spans="1:11" ht="15" x14ac:dyDescent="0.2">
      <c r="A98" s="2">
        <f t="shared" si="5"/>
        <v>83</v>
      </c>
      <c r="B98" s="13"/>
      <c r="C98" s="10" t="s">
        <v>174</v>
      </c>
      <c r="D98" s="55">
        <v>74</v>
      </c>
      <c r="E98" s="28">
        <f t="shared" si="8"/>
        <v>404</v>
      </c>
      <c r="F98" s="28">
        <f t="shared" si="9"/>
        <v>411</v>
      </c>
      <c r="G98" s="18">
        <v>8</v>
      </c>
      <c r="H98" s="18" t="s">
        <v>18</v>
      </c>
      <c r="I98" s="28"/>
      <c r="J98" s="3"/>
      <c r="K98" s="31" t="s">
        <v>175</v>
      </c>
    </row>
    <row r="99" spans="1:11" ht="15" x14ac:dyDescent="0.2">
      <c r="A99" s="2">
        <f t="shared" ref="A99:A132" si="10">A98+1</f>
        <v>84</v>
      </c>
      <c r="B99" s="13"/>
      <c r="C99" s="10" t="s">
        <v>176</v>
      </c>
      <c r="D99" s="55">
        <v>75</v>
      </c>
      <c r="E99" s="28">
        <f t="shared" si="8"/>
        <v>412</v>
      </c>
      <c r="F99" s="28">
        <f t="shared" si="9"/>
        <v>415</v>
      </c>
      <c r="G99" s="18">
        <v>4</v>
      </c>
      <c r="H99" s="18" t="s">
        <v>18</v>
      </c>
      <c r="I99" s="28"/>
      <c r="J99" s="3"/>
      <c r="K99" s="31" t="s">
        <v>201</v>
      </c>
    </row>
    <row r="100" spans="1:11" ht="15" x14ac:dyDescent="0.2">
      <c r="A100" s="2">
        <f t="shared" si="10"/>
        <v>85</v>
      </c>
      <c r="B100" s="13"/>
      <c r="C100" s="10" t="s">
        <v>177</v>
      </c>
      <c r="D100" s="55">
        <v>76</v>
      </c>
      <c r="E100" s="28">
        <f t="shared" si="8"/>
        <v>416</v>
      </c>
      <c r="F100" s="28">
        <f t="shared" si="9"/>
        <v>475</v>
      </c>
      <c r="G100" s="18">
        <v>60</v>
      </c>
      <c r="H100" s="18" t="s">
        <v>15</v>
      </c>
      <c r="I100" s="28"/>
      <c r="J100" s="3"/>
      <c r="K100" s="31" t="s">
        <v>202</v>
      </c>
    </row>
    <row r="101" spans="1:11" s="51" customFormat="1" ht="51" x14ac:dyDescent="0.2">
      <c r="A101" s="2">
        <f t="shared" si="10"/>
        <v>86</v>
      </c>
      <c r="B101" s="13"/>
      <c r="C101" s="10" t="s">
        <v>178</v>
      </c>
      <c r="D101" s="55">
        <v>77</v>
      </c>
      <c r="E101" s="28">
        <f t="shared" si="8"/>
        <v>476</v>
      </c>
      <c r="F101" s="28">
        <f t="shared" si="9"/>
        <v>489</v>
      </c>
      <c r="G101" s="18">
        <v>14</v>
      </c>
      <c r="H101" s="18" t="s">
        <v>18</v>
      </c>
      <c r="I101" s="28"/>
      <c r="J101" s="3"/>
      <c r="K101" s="31" t="s">
        <v>179</v>
      </c>
    </row>
    <row r="102" spans="1:11" ht="15" x14ac:dyDescent="0.2">
      <c r="A102" s="2">
        <f t="shared" si="10"/>
        <v>87</v>
      </c>
      <c r="B102" s="13"/>
      <c r="C102" s="10" t="s">
        <v>180</v>
      </c>
      <c r="D102" s="55">
        <v>78</v>
      </c>
      <c r="E102" s="28">
        <f t="shared" si="8"/>
        <v>490</v>
      </c>
      <c r="F102" s="28">
        <f t="shared" si="9"/>
        <v>503</v>
      </c>
      <c r="G102" s="18">
        <v>14</v>
      </c>
      <c r="H102" s="18" t="s">
        <v>15</v>
      </c>
      <c r="I102" s="28"/>
      <c r="J102" s="3"/>
      <c r="K102" s="31"/>
    </row>
    <row r="103" spans="1:11" ht="76.5" x14ac:dyDescent="0.2">
      <c r="A103" s="2">
        <f t="shared" si="10"/>
        <v>88</v>
      </c>
      <c r="B103" s="13"/>
      <c r="C103" s="10" t="s">
        <v>204</v>
      </c>
      <c r="D103" s="55">
        <v>79</v>
      </c>
      <c r="E103" s="28">
        <f t="shared" si="8"/>
        <v>504</v>
      </c>
      <c r="F103" s="28">
        <f t="shared" si="9"/>
        <v>512</v>
      </c>
      <c r="G103" s="18">
        <v>9</v>
      </c>
      <c r="H103" s="18" t="s">
        <v>15</v>
      </c>
      <c r="I103" s="28"/>
      <c r="J103" s="3"/>
      <c r="K103" s="31" t="s">
        <v>205</v>
      </c>
    </row>
    <row r="104" spans="1:11" ht="25.5" x14ac:dyDescent="0.2">
      <c r="A104" s="2">
        <f t="shared" si="10"/>
        <v>89</v>
      </c>
      <c r="B104" s="13"/>
      <c r="C104" s="10" t="s">
        <v>1362</v>
      </c>
      <c r="D104" s="28" t="s">
        <v>14</v>
      </c>
      <c r="E104" s="28">
        <f t="shared" si="8"/>
        <v>513</v>
      </c>
      <c r="F104" s="28">
        <f t="shared" si="9"/>
        <v>515</v>
      </c>
      <c r="G104" s="18">
        <v>3</v>
      </c>
      <c r="H104" s="18" t="s">
        <v>18</v>
      </c>
      <c r="I104" s="15"/>
      <c r="J104" s="21"/>
      <c r="K104" s="31" t="s">
        <v>1363</v>
      </c>
    </row>
    <row r="105" spans="1:11" ht="38.25" x14ac:dyDescent="0.2">
      <c r="A105" s="2">
        <f t="shared" si="10"/>
        <v>90</v>
      </c>
      <c r="B105" s="13"/>
      <c r="C105" s="10" t="s">
        <v>206</v>
      </c>
      <c r="D105" s="55" t="s">
        <v>207</v>
      </c>
      <c r="E105" s="28">
        <f t="shared" si="8"/>
        <v>516</v>
      </c>
      <c r="F105" s="28">
        <f t="shared" si="9"/>
        <v>575</v>
      </c>
      <c r="G105" s="18">
        <v>60</v>
      </c>
      <c r="H105" s="18" t="s">
        <v>15</v>
      </c>
      <c r="I105" s="28"/>
      <c r="J105" s="3"/>
      <c r="K105" s="31" t="s">
        <v>208</v>
      </c>
    </row>
    <row r="106" spans="1:11" ht="63.75" x14ac:dyDescent="0.2">
      <c r="A106" s="138">
        <v>91</v>
      </c>
      <c r="B106" s="177"/>
      <c r="C106" s="139" t="s">
        <v>209</v>
      </c>
      <c r="D106" s="178" t="s">
        <v>210</v>
      </c>
      <c r="E106" s="69">
        <v>576</v>
      </c>
      <c r="F106" s="69">
        <v>595</v>
      </c>
      <c r="G106" s="68">
        <v>20</v>
      </c>
      <c r="H106" s="68"/>
      <c r="I106" s="69"/>
      <c r="J106" s="140"/>
      <c r="K106" s="179" t="s">
        <v>1364</v>
      </c>
    </row>
    <row r="107" spans="1:11" ht="127.5" x14ac:dyDescent="0.2">
      <c r="A107" s="138">
        <v>92</v>
      </c>
      <c r="B107" s="204"/>
      <c r="C107" s="139" t="s">
        <v>212</v>
      </c>
      <c r="D107" s="178" t="s">
        <v>213</v>
      </c>
      <c r="E107" s="69">
        <v>596</v>
      </c>
      <c r="F107" s="69">
        <v>596</v>
      </c>
      <c r="G107" s="68">
        <v>1</v>
      </c>
      <c r="H107" s="68"/>
      <c r="I107" s="69"/>
      <c r="J107" s="140"/>
      <c r="K107" s="179" t="s">
        <v>1365</v>
      </c>
    </row>
    <row r="108" spans="1:11" x14ac:dyDescent="0.2">
      <c r="A108" s="2">
        <v>93</v>
      </c>
      <c r="B108" s="10"/>
      <c r="C108" s="10" t="s">
        <v>28</v>
      </c>
      <c r="D108" s="29" t="s">
        <v>14</v>
      </c>
      <c r="E108" s="28">
        <v>597</v>
      </c>
      <c r="F108" s="28">
        <v>600</v>
      </c>
      <c r="G108" s="28">
        <f>F108-F107</f>
        <v>4</v>
      </c>
      <c r="H108" s="28" t="s">
        <v>15</v>
      </c>
      <c r="I108" s="28"/>
      <c r="J108" s="3"/>
      <c r="K108" s="3" t="s">
        <v>29</v>
      </c>
    </row>
    <row r="109" spans="1:11" x14ac:dyDescent="0.2">
      <c r="A109" s="2">
        <f t="shared" si="10"/>
        <v>94</v>
      </c>
      <c r="B109" s="159" t="s">
        <v>215</v>
      </c>
      <c r="C109" s="158"/>
      <c r="D109" s="29" t="s">
        <v>14</v>
      </c>
      <c r="E109" s="28">
        <f>$F$16+1</f>
        <v>7</v>
      </c>
      <c r="F109" s="28">
        <f>G109+$F$16</f>
        <v>9</v>
      </c>
      <c r="G109" s="28">
        <v>3</v>
      </c>
      <c r="H109" s="28" t="s">
        <v>18</v>
      </c>
      <c r="I109" s="28"/>
      <c r="J109" s="3"/>
      <c r="K109" s="158" t="s">
        <v>216</v>
      </c>
    </row>
    <row r="110" spans="1:11" ht="15" x14ac:dyDescent="0.2">
      <c r="A110" s="2">
        <f t="shared" si="10"/>
        <v>95</v>
      </c>
      <c r="B110" s="13"/>
      <c r="C110" s="10" t="s">
        <v>217</v>
      </c>
      <c r="D110" s="55">
        <v>81</v>
      </c>
      <c r="E110" s="28">
        <f t="shared" ref="E110:E121" si="11">F109+1</f>
        <v>10</v>
      </c>
      <c r="F110" s="28">
        <f t="shared" ref="F110:F121" si="12">F109+G110</f>
        <v>23</v>
      </c>
      <c r="G110" s="18">
        <v>14</v>
      </c>
      <c r="H110" s="18" t="s">
        <v>15</v>
      </c>
      <c r="I110" s="28"/>
      <c r="J110" s="3"/>
      <c r="K110" s="31" t="s">
        <v>218</v>
      </c>
    </row>
    <row r="111" spans="1:11" ht="15" x14ac:dyDescent="0.2">
      <c r="A111" s="2">
        <f t="shared" si="10"/>
        <v>96</v>
      </c>
      <c r="B111" s="13"/>
      <c r="C111" s="10" t="s">
        <v>219</v>
      </c>
      <c r="D111" s="55">
        <v>82</v>
      </c>
      <c r="E111" s="28">
        <f t="shared" si="11"/>
        <v>24</v>
      </c>
      <c r="F111" s="28">
        <f t="shared" si="12"/>
        <v>83</v>
      </c>
      <c r="G111" s="18">
        <v>60</v>
      </c>
      <c r="H111" s="18" t="s">
        <v>15</v>
      </c>
      <c r="I111" s="28"/>
      <c r="J111" s="3"/>
      <c r="K111" s="31"/>
    </row>
    <row r="112" spans="1:11" ht="15" x14ac:dyDescent="0.2">
      <c r="A112" s="2">
        <f t="shared" si="10"/>
        <v>97</v>
      </c>
      <c r="B112" s="13"/>
      <c r="C112" s="10" t="s">
        <v>166</v>
      </c>
      <c r="D112" s="55">
        <v>83</v>
      </c>
      <c r="E112" s="28">
        <f t="shared" si="11"/>
        <v>84</v>
      </c>
      <c r="F112" s="28">
        <f t="shared" si="12"/>
        <v>143</v>
      </c>
      <c r="G112" s="18">
        <v>60</v>
      </c>
      <c r="H112" s="18" t="s">
        <v>15</v>
      </c>
      <c r="I112" s="28"/>
      <c r="J112" s="3"/>
      <c r="K112" s="31"/>
    </row>
    <row r="113" spans="1:11" ht="15" x14ac:dyDescent="0.2">
      <c r="A113" s="2">
        <f t="shared" si="10"/>
        <v>98</v>
      </c>
      <c r="B113" s="13"/>
      <c r="C113" s="10" t="s">
        <v>167</v>
      </c>
      <c r="D113" s="55">
        <v>84</v>
      </c>
      <c r="E113" s="28">
        <f t="shared" si="11"/>
        <v>144</v>
      </c>
      <c r="F113" s="28">
        <f t="shared" si="12"/>
        <v>203</v>
      </c>
      <c r="G113" s="18">
        <v>60</v>
      </c>
      <c r="H113" s="18" t="s">
        <v>15</v>
      </c>
      <c r="I113" s="28"/>
      <c r="J113" s="3"/>
      <c r="K113" s="31"/>
    </row>
    <row r="114" spans="1:11" ht="15" x14ac:dyDescent="0.2">
      <c r="A114" s="2">
        <f t="shared" si="10"/>
        <v>99</v>
      </c>
      <c r="B114" s="13"/>
      <c r="C114" s="10" t="s">
        <v>168</v>
      </c>
      <c r="D114" s="55">
        <v>85</v>
      </c>
      <c r="E114" s="28">
        <f t="shared" si="11"/>
        <v>204</v>
      </c>
      <c r="F114" s="28">
        <f t="shared" si="12"/>
        <v>263</v>
      </c>
      <c r="G114" s="18">
        <v>60</v>
      </c>
      <c r="H114" s="18" t="s">
        <v>15</v>
      </c>
      <c r="I114" s="28"/>
      <c r="J114" s="3"/>
      <c r="K114" s="31"/>
    </row>
    <row r="115" spans="1:11" ht="15" x14ac:dyDescent="0.2">
      <c r="A115" s="2">
        <f t="shared" si="10"/>
        <v>100</v>
      </c>
      <c r="B115" s="13"/>
      <c r="C115" s="10" t="s">
        <v>200</v>
      </c>
      <c r="D115" s="55">
        <v>86</v>
      </c>
      <c r="E115" s="28">
        <f t="shared" si="11"/>
        <v>264</v>
      </c>
      <c r="F115" s="28">
        <f t="shared" si="12"/>
        <v>270</v>
      </c>
      <c r="G115" s="18">
        <v>7</v>
      </c>
      <c r="H115" s="18" t="s">
        <v>18</v>
      </c>
      <c r="I115" s="28"/>
      <c r="J115" s="3"/>
      <c r="K115" s="31" t="s">
        <v>169</v>
      </c>
    </row>
    <row r="116" spans="1:11" ht="15" x14ac:dyDescent="0.2">
      <c r="A116" s="2">
        <f t="shared" si="10"/>
        <v>101</v>
      </c>
      <c r="B116" s="13"/>
      <c r="C116" s="10" t="s">
        <v>170</v>
      </c>
      <c r="D116" s="55">
        <v>87</v>
      </c>
      <c r="E116" s="28">
        <f t="shared" si="11"/>
        <v>271</v>
      </c>
      <c r="F116" s="28">
        <f t="shared" si="12"/>
        <v>330</v>
      </c>
      <c r="G116" s="18">
        <v>60</v>
      </c>
      <c r="H116" s="18" t="s">
        <v>15</v>
      </c>
      <c r="I116" s="28"/>
      <c r="J116" s="3"/>
      <c r="K116" s="31" t="s">
        <v>171</v>
      </c>
    </row>
    <row r="117" spans="1:11" ht="15" x14ac:dyDescent="0.2">
      <c r="A117" s="2">
        <f t="shared" si="10"/>
        <v>102</v>
      </c>
      <c r="B117" s="13"/>
      <c r="C117" s="10" t="s">
        <v>172</v>
      </c>
      <c r="D117" s="55">
        <v>88</v>
      </c>
      <c r="E117" s="28">
        <f t="shared" si="11"/>
        <v>331</v>
      </c>
      <c r="F117" s="28">
        <f t="shared" si="12"/>
        <v>332</v>
      </c>
      <c r="G117" s="18">
        <v>2</v>
      </c>
      <c r="H117" s="18" t="s">
        <v>15</v>
      </c>
      <c r="I117" s="28"/>
      <c r="J117" s="3"/>
      <c r="K117" s="31" t="s">
        <v>173</v>
      </c>
    </row>
    <row r="118" spans="1:11" ht="15" x14ac:dyDescent="0.2">
      <c r="A118" s="2">
        <f t="shared" si="10"/>
        <v>103</v>
      </c>
      <c r="B118" s="13"/>
      <c r="C118" s="10" t="s">
        <v>220</v>
      </c>
      <c r="D118" s="55" t="s">
        <v>14</v>
      </c>
      <c r="E118" s="28">
        <f t="shared" si="11"/>
        <v>333</v>
      </c>
      <c r="F118" s="28">
        <f t="shared" si="12"/>
        <v>392</v>
      </c>
      <c r="G118" s="18">
        <v>60</v>
      </c>
      <c r="H118" s="18" t="s">
        <v>15</v>
      </c>
      <c r="I118" s="28"/>
      <c r="J118" s="3"/>
      <c r="K118" s="31" t="s">
        <v>221</v>
      </c>
    </row>
    <row r="119" spans="1:11" ht="15" x14ac:dyDescent="0.2">
      <c r="A119" s="2">
        <f t="shared" si="10"/>
        <v>104</v>
      </c>
      <c r="B119" s="13"/>
      <c r="C119" s="10" t="s">
        <v>222</v>
      </c>
      <c r="D119" s="55" t="s">
        <v>14</v>
      </c>
      <c r="E119" s="28">
        <f t="shared" si="11"/>
        <v>393</v>
      </c>
      <c r="F119" s="28">
        <f t="shared" si="12"/>
        <v>401</v>
      </c>
      <c r="G119" s="18">
        <v>9</v>
      </c>
      <c r="H119" s="18" t="s">
        <v>15</v>
      </c>
      <c r="I119" s="28"/>
      <c r="J119" s="3"/>
      <c r="K119" s="31"/>
    </row>
    <row r="120" spans="1:11" ht="25.5" x14ac:dyDescent="0.2">
      <c r="A120" s="2">
        <f t="shared" si="10"/>
        <v>105</v>
      </c>
      <c r="B120" s="13"/>
      <c r="C120" s="10" t="s">
        <v>1362</v>
      </c>
      <c r="D120" s="28" t="s">
        <v>14</v>
      </c>
      <c r="E120" s="28">
        <f t="shared" si="11"/>
        <v>402</v>
      </c>
      <c r="F120" s="28">
        <f t="shared" si="12"/>
        <v>404</v>
      </c>
      <c r="G120" s="18">
        <v>3</v>
      </c>
      <c r="H120" s="18" t="s">
        <v>18</v>
      </c>
      <c r="I120" s="28"/>
      <c r="J120" s="3"/>
      <c r="K120" s="31" t="s">
        <v>1363</v>
      </c>
    </row>
    <row r="121" spans="1:11" ht="15" x14ac:dyDescent="0.2">
      <c r="A121" s="2">
        <f t="shared" si="10"/>
        <v>106</v>
      </c>
      <c r="B121" s="26"/>
      <c r="C121" s="10" t="s">
        <v>223</v>
      </c>
      <c r="D121" s="55" t="s">
        <v>224</v>
      </c>
      <c r="E121" s="28">
        <f t="shared" si="11"/>
        <v>405</v>
      </c>
      <c r="F121" s="28">
        <f t="shared" si="12"/>
        <v>415</v>
      </c>
      <c r="G121" s="18">
        <v>11</v>
      </c>
      <c r="H121" s="18" t="s">
        <v>15</v>
      </c>
      <c r="I121" s="28"/>
      <c r="J121" s="3"/>
      <c r="K121" s="31" t="s">
        <v>225</v>
      </c>
    </row>
    <row r="122" spans="1:11" x14ac:dyDescent="0.2">
      <c r="A122" s="2">
        <f t="shared" si="10"/>
        <v>107</v>
      </c>
      <c r="B122" s="10"/>
      <c r="C122" s="10" t="s">
        <v>28</v>
      </c>
      <c r="D122" s="29" t="s">
        <v>14</v>
      </c>
      <c r="E122" s="28">
        <f>F119+1</f>
        <v>402</v>
      </c>
      <c r="F122" s="28">
        <v>600</v>
      </c>
      <c r="G122" s="28">
        <f>F122-F119</f>
        <v>199</v>
      </c>
      <c r="H122" s="28" t="s">
        <v>15</v>
      </c>
      <c r="I122" s="28"/>
      <c r="J122" s="3"/>
      <c r="K122" s="3" t="s">
        <v>29</v>
      </c>
    </row>
    <row r="123" spans="1:11" x14ac:dyDescent="0.2">
      <c r="A123" s="2">
        <f t="shared" si="10"/>
        <v>108</v>
      </c>
      <c r="B123" s="159" t="s">
        <v>238</v>
      </c>
      <c r="C123" s="158"/>
      <c r="D123" s="29" t="s">
        <v>14</v>
      </c>
      <c r="E123" s="28">
        <f>$F$16+1</f>
        <v>7</v>
      </c>
      <c r="F123" s="28">
        <f>G123+$F$16</f>
        <v>9</v>
      </c>
      <c r="G123" s="28">
        <v>3</v>
      </c>
      <c r="H123" s="28" t="s">
        <v>18</v>
      </c>
      <c r="I123" s="28"/>
      <c r="J123" s="3"/>
      <c r="K123" s="158" t="s">
        <v>239</v>
      </c>
    </row>
    <row r="124" spans="1:11" ht="15" x14ac:dyDescent="0.2">
      <c r="A124" s="2">
        <f t="shared" si="10"/>
        <v>109</v>
      </c>
      <c r="B124" s="13"/>
      <c r="C124" s="10" t="s">
        <v>240</v>
      </c>
      <c r="D124" s="55">
        <v>90</v>
      </c>
      <c r="E124" s="28">
        <f t="shared" ref="E124:E136" si="13">F123+1</f>
        <v>10</v>
      </c>
      <c r="F124" s="28">
        <f t="shared" ref="F124:F135" si="14">F123+G124</f>
        <v>23</v>
      </c>
      <c r="G124" s="18">
        <v>14</v>
      </c>
      <c r="H124" s="18" t="s">
        <v>15</v>
      </c>
      <c r="I124" s="28"/>
      <c r="J124" s="3"/>
      <c r="K124" s="31" t="s">
        <v>218</v>
      </c>
    </row>
    <row r="125" spans="1:11" ht="15" x14ac:dyDescent="0.2">
      <c r="A125" s="2">
        <f t="shared" si="10"/>
        <v>110</v>
      </c>
      <c r="B125" s="13"/>
      <c r="C125" s="10" t="s">
        <v>241</v>
      </c>
      <c r="D125" s="55">
        <v>91</v>
      </c>
      <c r="E125" s="28">
        <f t="shared" si="13"/>
        <v>24</v>
      </c>
      <c r="F125" s="28">
        <f t="shared" si="14"/>
        <v>83</v>
      </c>
      <c r="G125" s="18">
        <v>60</v>
      </c>
      <c r="H125" s="18" t="s">
        <v>15</v>
      </c>
      <c r="I125" s="28"/>
      <c r="J125" s="3"/>
      <c r="K125" s="31"/>
    </row>
    <row r="126" spans="1:11" ht="15" x14ac:dyDescent="0.2">
      <c r="A126" s="2">
        <f t="shared" si="10"/>
        <v>111</v>
      </c>
      <c r="B126" s="13"/>
      <c r="C126" s="10" t="s">
        <v>166</v>
      </c>
      <c r="D126" s="55">
        <v>92</v>
      </c>
      <c r="E126" s="28">
        <f t="shared" si="13"/>
        <v>84</v>
      </c>
      <c r="F126" s="28">
        <f t="shared" si="14"/>
        <v>143</v>
      </c>
      <c r="G126" s="18">
        <v>60</v>
      </c>
      <c r="H126" s="18" t="s">
        <v>15</v>
      </c>
      <c r="I126" s="28"/>
      <c r="J126" s="3"/>
      <c r="K126" s="31"/>
    </row>
    <row r="127" spans="1:11" ht="15" x14ac:dyDescent="0.2">
      <c r="A127" s="2">
        <f t="shared" si="10"/>
        <v>112</v>
      </c>
      <c r="B127" s="13"/>
      <c r="C127" s="10" t="s">
        <v>167</v>
      </c>
      <c r="D127" s="55">
        <v>93</v>
      </c>
      <c r="E127" s="28">
        <f t="shared" si="13"/>
        <v>144</v>
      </c>
      <c r="F127" s="28">
        <f t="shared" si="14"/>
        <v>203</v>
      </c>
      <c r="G127" s="18">
        <v>60</v>
      </c>
      <c r="H127" s="18" t="s">
        <v>15</v>
      </c>
      <c r="I127" s="28"/>
      <c r="J127" s="3"/>
      <c r="K127" s="31"/>
    </row>
    <row r="128" spans="1:11" ht="15" x14ac:dyDescent="0.2">
      <c r="A128" s="2">
        <f t="shared" si="10"/>
        <v>113</v>
      </c>
      <c r="B128" s="13"/>
      <c r="C128" s="10" t="s">
        <v>168</v>
      </c>
      <c r="D128" s="55">
        <v>94</v>
      </c>
      <c r="E128" s="28">
        <f t="shared" si="13"/>
        <v>204</v>
      </c>
      <c r="F128" s="28">
        <f t="shared" si="14"/>
        <v>263</v>
      </c>
      <c r="G128" s="18">
        <v>60</v>
      </c>
      <c r="H128" s="18" t="s">
        <v>15</v>
      </c>
      <c r="I128" s="28"/>
      <c r="J128" s="3"/>
      <c r="K128" s="31"/>
    </row>
    <row r="129" spans="1:11" ht="15" x14ac:dyDescent="0.2">
      <c r="A129" s="2">
        <f t="shared" si="10"/>
        <v>114</v>
      </c>
      <c r="B129" s="13"/>
      <c r="C129" s="10" t="s">
        <v>200</v>
      </c>
      <c r="D129" s="55">
        <v>95</v>
      </c>
      <c r="E129" s="28">
        <f t="shared" si="13"/>
        <v>264</v>
      </c>
      <c r="F129" s="28">
        <f t="shared" si="14"/>
        <v>270</v>
      </c>
      <c r="G129" s="18">
        <v>7</v>
      </c>
      <c r="H129" s="18" t="s">
        <v>18</v>
      </c>
      <c r="I129" s="28"/>
      <c r="J129" s="3"/>
      <c r="K129" s="31" t="s">
        <v>169</v>
      </c>
    </row>
    <row r="130" spans="1:11" ht="15" x14ac:dyDescent="0.2">
      <c r="A130" s="2">
        <f t="shared" si="10"/>
        <v>115</v>
      </c>
      <c r="B130" s="13"/>
      <c r="C130" s="10" t="s">
        <v>170</v>
      </c>
      <c r="D130" s="55">
        <v>96</v>
      </c>
      <c r="E130" s="28">
        <f t="shared" si="13"/>
        <v>271</v>
      </c>
      <c r="F130" s="28">
        <f t="shared" si="14"/>
        <v>330</v>
      </c>
      <c r="G130" s="18">
        <v>60</v>
      </c>
      <c r="H130" s="18" t="s">
        <v>15</v>
      </c>
      <c r="I130" s="28"/>
      <c r="J130" s="3"/>
      <c r="K130" s="31" t="s">
        <v>171</v>
      </c>
    </row>
    <row r="131" spans="1:11" ht="15" x14ac:dyDescent="0.2">
      <c r="A131" s="2">
        <f t="shared" si="10"/>
        <v>116</v>
      </c>
      <c r="B131" s="13"/>
      <c r="C131" s="10" t="s">
        <v>172</v>
      </c>
      <c r="D131" s="55">
        <v>97</v>
      </c>
      <c r="E131" s="28">
        <f t="shared" si="13"/>
        <v>331</v>
      </c>
      <c r="F131" s="28">
        <f t="shared" si="14"/>
        <v>332</v>
      </c>
      <c r="G131" s="18">
        <v>2</v>
      </c>
      <c r="H131" s="18" t="s">
        <v>15</v>
      </c>
      <c r="I131" s="28"/>
      <c r="J131" s="3"/>
      <c r="K131" s="31" t="s">
        <v>173</v>
      </c>
    </row>
    <row r="132" spans="1:11" ht="15" x14ac:dyDescent="0.2">
      <c r="A132" s="2">
        <f t="shared" si="10"/>
        <v>117</v>
      </c>
      <c r="B132" s="13"/>
      <c r="C132" s="10" t="s">
        <v>220</v>
      </c>
      <c r="D132" s="55" t="s">
        <v>14</v>
      </c>
      <c r="E132" s="28">
        <f t="shared" si="13"/>
        <v>333</v>
      </c>
      <c r="F132" s="28">
        <f t="shared" si="14"/>
        <v>392</v>
      </c>
      <c r="G132" s="18">
        <v>60</v>
      </c>
      <c r="H132" s="18" t="s">
        <v>15</v>
      </c>
      <c r="I132" s="28"/>
      <c r="J132" s="3"/>
      <c r="K132" s="31" t="s">
        <v>242</v>
      </c>
    </row>
    <row r="133" spans="1:11" ht="15" x14ac:dyDescent="0.2">
      <c r="A133" s="2">
        <f t="shared" ref="A133:A172" si="15">A132+1</f>
        <v>118</v>
      </c>
      <c r="B133" s="13"/>
      <c r="C133" s="10" t="s">
        <v>222</v>
      </c>
      <c r="D133" s="55" t="s">
        <v>14</v>
      </c>
      <c r="E133" s="28">
        <f t="shared" si="13"/>
        <v>393</v>
      </c>
      <c r="F133" s="28">
        <f t="shared" si="14"/>
        <v>401</v>
      </c>
      <c r="G133" s="18">
        <v>9</v>
      </c>
      <c r="H133" s="18" t="s">
        <v>15</v>
      </c>
      <c r="I133" s="28"/>
      <c r="J133" s="3"/>
      <c r="K133" s="31"/>
    </row>
    <row r="134" spans="1:11" ht="25.5" x14ac:dyDescent="0.2">
      <c r="A134" s="2">
        <f t="shared" si="15"/>
        <v>119</v>
      </c>
      <c r="B134" s="13"/>
      <c r="C134" s="10" t="s">
        <v>1362</v>
      </c>
      <c r="D134" s="28" t="s">
        <v>14</v>
      </c>
      <c r="E134" s="28">
        <f t="shared" si="13"/>
        <v>402</v>
      </c>
      <c r="F134" s="28">
        <f t="shared" si="14"/>
        <v>404</v>
      </c>
      <c r="G134" s="18">
        <v>3</v>
      </c>
      <c r="H134" s="18" t="s">
        <v>18</v>
      </c>
      <c r="I134" s="28"/>
      <c r="J134" s="3"/>
      <c r="K134" s="31" t="s">
        <v>1363</v>
      </c>
    </row>
    <row r="135" spans="1:11" ht="15" x14ac:dyDescent="0.2">
      <c r="A135" s="2">
        <f t="shared" si="15"/>
        <v>120</v>
      </c>
      <c r="B135" s="26"/>
      <c r="C135" s="10" t="s">
        <v>223</v>
      </c>
      <c r="D135" s="55" t="s">
        <v>243</v>
      </c>
      <c r="E135" s="28">
        <f t="shared" si="13"/>
        <v>405</v>
      </c>
      <c r="F135" s="28">
        <f t="shared" si="14"/>
        <v>415</v>
      </c>
      <c r="G135" s="18">
        <v>11</v>
      </c>
      <c r="H135" s="18" t="s">
        <v>15</v>
      </c>
      <c r="I135" s="28"/>
      <c r="J135" s="3"/>
      <c r="K135" s="31" t="s">
        <v>225</v>
      </c>
    </row>
    <row r="136" spans="1:11" x14ac:dyDescent="0.2">
      <c r="A136" s="2">
        <f t="shared" si="15"/>
        <v>121</v>
      </c>
      <c r="B136" s="10"/>
      <c r="C136" s="10" t="s">
        <v>28</v>
      </c>
      <c r="D136" s="29" t="s">
        <v>14</v>
      </c>
      <c r="E136" s="28">
        <f t="shared" si="13"/>
        <v>416</v>
      </c>
      <c r="F136" s="28">
        <v>600</v>
      </c>
      <c r="G136" s="28">
        <f>F136-F135</f>
        <v>185</v>
      </c>
      <c r="H136" s="28" t="s">
        <v>15</v>
      </c>
      <c r="I136" s="28"/>
      <c r="J136" s="3"/>
      <c r="K136" s="3" t="s">
        <v>29</v>
      </c>
    </row>
    <row r="137" spans="1:11" x14ac:dyDescent="0.2">
      <c r="A137" s="188">
        <v>122</v>
      </c>
      <c r="B137" s="189" t="s">
        <v>252</v>
      </c>
      <c r="C137" s="189"/>
      <c r="D137" s="190" t="s">
        <v>14</v>
      </c>
      <c r="E137" s="191">
        <f>$F$16+1</f>
        <v>7</v>
      </c>
      <c r="F137" s="191">
        <f>G137+$F$16</f>
        <v>9</v>
      </c>
      <c r="G137" s="191">
        <v>3</v>
      </c>
      <c r="H137" s="191" t="s">
        <v>18</v>
      </c>
      <c r="I137" s="191"/>
      <c r="J137" s="192"/>
      <c r="K137" s="192" t="s">
        <v>253</v>
      </c>
    </row>
    <row r="138" spans="1:11" ht="38.25" x14ac:dyDescent="0.2">
      <c r="A138" s="138">
        <v>123</v>
      </c>
      <c r="B138" s="139"/>
      <c r="C138" s="139" t="s">
        <v>254</v>
      </c>
      <c r="D138" s="178" t="s">
        <v>255</v>
      </c>
      <c r="E138" s="69">
        <v>10</v>
      </c>
      <c r="F138" s="69">
        <v>24</v>
      </c>
      <c r="G138" s="68">
        <v>15</v>
      </c>
      <c r="H138" s="68" t="s">
        <v>15</v>
      </c>
      <c r="I138" s="69"/>
      <c r="J138" s="140"/>
      <c r="K138" s="179" t="s">
        <v>256</v>
      </c>
    </row>
    <row r="139" spans="1:11" x14ac:dyDescent="0.2">
      <c r="A139" s="138">
        <v>124</v>
      </c>
      <c r="B139" s="139"/>
      <c r="C139" s="139" t="s">
        <v>28</v>
      </c>
      <c r="D139" s="141" t="s">
        <v>14</v>
      </c>
      <c r="E139" s="69">
        <v>25</v>
      </c>
      <c r="F139" s="69">
        <v>600</v>
      </c>
      <c r="G139" s="69">
        <f>F139-F138</f>
        <v>576</v>
      </c>
      <c r="H139" s="69" t="s">
        <v>15</v>
      </c>
      <c r="I139" s="69"/>
      <c r="J139" s="140"/>
      <c r="K139" s="140" t="s">
        <v>29</v>
      </c>
    </row>
    <row r="140" spans="1:11" x14ac:dyDescent="0.2">
      <c r="A140" s="188">
        <v>125</v>
      </c>
      <c r="B140" s="189" t="s">
        <v>257</v>
      </c>
      <c r="C140" s="189"/>
      <c r="D140" s="190" t="s">
        <v>14</v>
      </c>
      <c r="E140" s="191">
        <f>$F$16+1</f>
        <v>7</v>
      </c>
      <c r="F140" s="191">
        <f>G140+$F$16</f>
        <v>9</v>
      </c>
      <c r="G140" s="191">
        <v>3</v>
      </c>
      <c r="H140" s="191" t="s">
        <v>18</v>
      </c>
      <c r="I140" s="191"/>
      <c r="J140" s="192"/>
      <c r="K140" s="192" t="s">
        <v>258</v>
      </c>
    </row>
    <row r="141" spans="1:11" x14ac:dyDescent="0.2">
      <c r="A141" s="138">
        <v>126</v>
      </c>
      <c r="B141" s="139"/>
      <c r="C141" s="139" t="s">
        <v>259</v>
      </c>
      <c r="D141" s="141" t="s">
        <v>260</v>
      </c>
      <c r="E141" s="69">
        <v>10</v>
      </c>
      <c r="F141" s="69">
        <v>23</v>
      </c>
      <c r="G141" s="69">
        <v>14</v>
      </c>
      <c r="H141" s="69" t="s">
        <v>18</v>
      </c>
      <c r="I141" s="69"/>
      <c r="J141" s="140"/>
      <c r="K141" s="365" t="s">
        <v>261</v>
      </c>
    </row>
    <row r="142" spans="1:11" x14ac:dyDescent="0.2">
      <c r="A142" s="138">
        <v>127</v>
      </c>
      <c r="B142" s="139"/>
      <c r="C142" s="139" t="s">
        <v>262</v>
      </c>
      <c r="D142" s="141" t="s">
        <v>263</v>
      </c>
      <c r="E142" s="69">
        <v>24</v>
      </c>
      <c r="F142" s="69">
        <v>34</v>
      </c>
      <c r="G142" s="69">
        <v>11</v>
      </c>
      <c r="H142" s="69" t="s">
        <v>18</v>
      </c>
      <c r="I142" s="69"/>
      <c r="J142" s="140"/>
      <c r="K142" s="366"/>
    </row>
    <row r="143" spans="1:11" x14ac:dyDescent="0.2">
      <c r="A143" s="138">
        <v>128</v>
      </c>
      <c r="B143" s="139"/>
      <c r="C143" s="139" t="s">
        <v>28</v>
      </c>
      <c r="D143" s="141" t="s">
        <v>14</v>
      </c>
      <c r="E143" s="69">
        <v>35</v>
      </c>
      <c r="F143" s="69">
        <v>566</v>
      </c>
      <c r="G143" s="69">
        <v>600</v>
      </c>
      <c r="H143" s="69" t="s">
        <v>15</v>
      </c>
      <c r="I143" s="69"/>
      <c r="J143" s="140"/>
      <c r="K143" s="140" t="s">
        <v>29</v>
      </c>
    </row>
    <row r="144" spans="1:11" x14ac:dyDescent="0.2">
      <c r="A144" s="103">
        <v>129</v>
      </c>
      <c r="B144" s="139" t="s">
        <v>264</v>
      </c>
      <c r="C144" s="139"/>
      <c r="D144" s="106"/>
      <c r="E144" s="107"/>
      <c r="F144" s="107"/>
      <c r="G144" s="107"/>
      <c r="H144" s="107"/>
      <c r="I144" s="107"/>
      <c r="J144" s="108"/>
      <c r="K144" s="108"/>
    </row>
    <row r="145" spans="1:11" x14ac:dyDescent="0.2">
      <c r="A145" s="2">
        <v>130</v>
      </c>
      <c r="B145" s="159" t="s">
        <v>265</v>
      </c>
      <c r="C145" s="158"/>
      <c r="D145" s="29" t="s">
        <v>14</v>
      </c>
      <c r="E145" s="28">
        <f>$F$16+1</f>
        <v>7</v>
      </c>
      <c r="F145" s="28">
        <f>G145+$F$16</f>
        <v>9</v>
      </c>
      <c r="G145" s="28">
        <v>3</v>
      </c>
      <c r="H145" s="28" t="s">
        <v>18</v>
      </c>
      <c r="I145" s="28"/>
      <c r="J145" s="3"/>
      <c r="K145" s="158" t="s">
        <v>266</v>
      </c>
    </row>
    <row r="146" spans="1:11" ht="15" x14ac:dyDescent="0.2">
      <c r="A146" s="2">
        <f t="shared" si="15"/>
        <v>131</v>
      </c>
      <c r="B146" s="10"/>
      <c r="C146" s="165" t="s">
        <v>267</v>
      </c>
      <c r="D146" s="55">
        <v>99</v>
      </c>
      <c r="E146" s="28">
        <f t="shared" ref="E146:E168" si="16">F145+1</f>
        <v>10</v>
      </c>
      <c r="F146" s="28">
        <f t="shared" ref="F146:F168" si="17">F145+G146</f>
        <v>12</v>
      </c>
      <c r="G146" s="18">
        <v>3</v>
      </c>
      <c r="H146" s="18" t="s">
        <v>18</v>
      </c>
      <c r="I146" s="28"/>
      <c r="J146" s="3"/>
      <c r="K146" s="3" t="s">
        <v>268</v>
      </c>
    </row>
    <row r="147" spans="1:11" ht="15" x14ac:dyDescent="0.2">
      <c r="A147" s="2">
        <f t="shared" si="15"/>
        <v>132</v>
      </c>
      <c r="B147" s="10"/>
      <c r="C147" s="10" t="s">
        <v>269</v>
      </c>
      <c r="D147" s="55">
        <v>101</v>
      </c>
      <c r="E147" s="28">
        <f t="shared" si="16"/>
        <v>13</v>
      </c>
      <c r="F147" s="28">
        <f t="shared" si="17"/>
        <v>72</v>
      </c>
      <c r="G147" s="18">
        <v>60</v>
      </c>
      <c r="H147" s="18" t="s">
        <v>15</v>
      </c>
      <c r="I147" s="18"/>
      <c r="J147" s="3"/>
      <c r="K147" s="3"/>
    </row>
    <row r="148" spans="1:11" ht="15" x14ac:dyDescent="0.2">
      <c r="A148" s="2">
        <f t="shared" si="15"/>
        <v>133</v>
      </c>
      <c r="B148" s="10"/>
      <c r="C148" s="10" t="s">
        <v>1366</v>
      </c>
      <c r="D148" s="55">
        <v>102</v>
      </c>
      <c r="E148" s="28">
        <f t="shared" si="16"/>
        <v>73</v>
      </c>
      <c r="F148" s="28">
        <f t="shared" si="17"/>
        <v>86</v>
      </c>
      <c r="G148" s="18">
        <v>14</v>
      </c>
      <c r="H148" s="18" t="s">
        <v>15</v>
      </c>
      <c r="I148" s="18"/>
      <c r="J148" s="3"/>
      <c r="K148" s="3"/>
    </row>
    <row r="149" spans="1:11" ht="15" x14ac:dyDescent="0.2">
      <c r="A149" s="2">
        <f t="shared" si="15"/>
        <v>134</v>
      </c>
      <c r="B149" s="10"/>
      <c r="C149" s="10" t="s">
        <v>272</v>
      </c>
      <c r="D149" s="55">
        <v>103</v>
      </c>
      <c r="E149" s="28">
        <f t="shared" si="16"/>
        <v>87</v>
      </c>
      <c r="F149" s="28">
        <f t="shared" si="17"/>
        <v>206</v>
      </c>
      <c r="G149" s="18">
        <v>120</v>
      </c>
      <c r="H149" s="18" t="s">
        <v>15</v>
      </c>
      <c r="I149" s="18"/>
      <c r="J149" s="3"/>
      <c r="K149" s="3" t="s">
        <v>273</v>
      </c>
    </row>
    <row r="150" spans="1:11" ht="89.25" x14ac:dyDescent="0.2">
      <c r="A150" s="2">
        <f t="shared" si="15"/>
        <v>135</v>
      </c>
      <c r="B150" s="10"/>
      <c r="C150" s="10" t="s">
        <v>274</v>
      </c>
      <c r="D150" s="55">
        <v>104</v>
      </c>
      <c r="E150" s="28">
        <f t="shared" si="16"/>
        <v>207</v>
      </c>
      <c r="F150" s="28">
        <f t="shared" si="17"/>
        <v>214</v>
      </c>
      <c r="G150" s="18">
        <v>8</v>
      </c>
      <c r="H150" s="18" t="s">
        <v>15</v>
      </c>
      <c r="I150" s="18"/>
      <c r="J150" s="3"/>
      <c r="K150" s="3" t="s">
        <v>275</v>
      </c>
    </row>
    <row r="151" spans="1:11" ht="15" x14ac:dyDescent="0.2">
      <c r="A151" s="2">
        <f t="shared" si="15"/>
        <v>136</v>
      </c>
      <c r="B151" s="10"/>
      <c r="C151" s="10" t="s">
        <v>276</v>
      </c>
      <c r="D151" s="55">
        <v>105</v>
      </c>
      <c r="E151" s="28">
        <f t="shared" si="16"/>
        <v>215</v>
      </c>
      <c r="F151" s="28">
        <f t="shared" si="17"/>
        <v>217</v>
      </c>
      <c r="G151" s="18">
        <v>3</v>
      </c>
      <c r="H151" s="18" t="s">
        <v>15</v>
      </c>
      <c r="I151" s="18"/>
      <c r="J151" s="3"/>
      <c r="K151" s="3"/>
    </row>
    <row r="152" spans="1:11" ht="15" x14ac:dyDescent="0.2">
      <c r="A152" s="2">
        <f t="shared" si="15"/>
        <v>137</v>
      </c>
      <c r="B152" s="10"/>
      <c r="C152" s="10" t="s">
        <v>277</v>
      </c>
      <c r="D152" s="55">
        <v>106</v>
      </c>
      <c r="E152" s="28">
        <f t="shared" si="16"/>
        <v>218</v>
      </c>
      <c r="F152" s="28">
        <f t="shared" si="17"/>
        <v>219</v>
      </c>
      <c r="G152" s="18">
        <v>2</v>
      </c>
      <c r="H152" s="18" t="s">
        <v>18</v>
      </c>
      <c r="I152" s="18"/>
      <c r="J152" s="3"/>
      <c r="K152" s="3" t="s">
        <v>1367</v>
      </c>
    </row>
    <row r="153" spans="1:11" ht="15" x14ac:dyDescent="0.2">
      <c r="A153" s="2">
        <f t="shared" si="15"/>
        <v>138</v>
      </c>
      <c r="B153" s="10"/>
      <c r="C153" s="10" t="s">
        <v>279</v>
      </c>
      <c r="D153" s="55">
        <v>107</v>
      </c>
      <c r="E153" s="28">
        <f t="shared" si="16"/>
        <v>220</v>
      </c>
      <c r="F153" s="28">
        <f t="shared" si="17"/>
        <v>223</v>
      </c>
      <c r="G153" s="18">
        <v>4</v>
      </c>
      <c r="H153" s="18" t="s">
        <v>18</v>
      </c>
      <c r="I153" s="18"/>
      <c r="J153" s="3"/>
      <c r="K153" s="3"/>
    </row>
    <row r="154" spans="1:11" ht="15" x14ac:dyDescent="0.2">
      <c r="A154" s="2">
        <f t="shared" si="15"/>
        <v>139</v>
      </c>
      <c r="B154" s="10"/>
      <c r="C154" s="10" t="s">
        <v>280</v>
      </c>
      <c r="D154" s="55">
        <v>112</v>
      </c>
      <c r="E154" s="28">
        <f t="shared" si="16"/>
        <v>224</v>
      </c>
      <c r="F154" s="28">
        <f t="shared" si="17"/>
        <v>229</v>
      </c>
      <c r="G154" s="18">
        <v>6</v>
      </c>
      <c r="H154" s="18" t="s">
        <v>15</v>
      </c>
      <c r="I154" s="18"/>
      <c r="J154" s="3"/>
      <c r="K154" s="3"/>
    </row>
    <row r="155" spans="1:11" x14ac:dyDescent="0.2">
      <c r="A155" s="2">
        <f t="shared" si="15"/>
        <v>140</v>
      </c>
      <c r="B155" s="10"/>
      <c r="C155" s="10" t="s">
        <v>281</v>
      </c>
      <c r="D155" s="29">
        <v>108</v>
      </c>
      <c r="E155" s="28">
        <f t="shared" si="16"/>
        <v>230</v>
      </c>
      <c r="F155" s="28">
        <f t="shared" si="17"/>
        <v>235</v>
      </c>
      <c r="G155" s="18">
        <v>6</v>
      </c>
      <c r="H155" s="18" t="s">
        <v>15</v>
      </c>
      <c r="I155" s="18"/>
      <c r="J155" s="3"/>
      <c r="K155" s="3"/>
    </row>
    <row r="156" spans="1:11" ht="51" x14ac:dyDescent="0.2">
      <c r="A156" s="2">
        <f t="shared" si="15"/>
        <v>141</v>
      </c>
      <c r="B156" s="10"/>
      <c r="C156" s="10" t="s">
        <v>282</v>
      </c>
      <c r="D156" s="29">
        <v>113</v>
      </c>
      <c r="E156" s="28">
        <f t="shared" si="16"/>
        <v>236</v>
      </c>
      <c r="F156" s="28">
        <f t="shared" si="17"/>
        <v>250</v>
      </c>
      <c r="G156" s="18">
        <v>15</v>
      </c>
      <c r="H156" s="18" t="s">
        <v>18</v>
      </c>
      <c r="I156" s="18">
        <v>4</v>
      </c>
      <c r="J156" s="3"/>
      <c r="K156" s="3" t="s">
        <v>1368</v>
      </c>
    </row>
    <row r="157" spans="1:11" ht="51" x14ac:dyDescent="0.2">
      <c r="A157" s="2">
        <f t="shared" si="15"/>
        <v>142</v>
      </c>
      <c r="B157" s="10"/>
      <c r="C157" s="10" t="s">
        <v>285</v>
      </c>
      <c r="D157" s="29" t="s">
        <v>286</v>
      </c>
      <c r="E157" s="28">
        <f t="shared" si="16"/>
        <v>251</v>
      </c>
      <c r="F157" s="28">
        <f t="shared" si="17"/>
        <v>271</v>
      </c>
      <c r="G157" s="18">
        <v>21</v>
      </c>
      <c r="H157" s="18" t="s">
        <v>18</v>
      </c>
      <c r="I157" s="18">
        <v>10</v>
      </c>
      <c r="J157" s="3"/>
      <c r="K157" s="3" t="s">
        <v>1369</v>
      </c>
    </row>
    <row r="158" spans="1:11" ht="51" x14ac:dyDescent="0.2">
      <c r="A158" s="2">
        <f t="shared" si="15"/>
        <v>143</v>
      </c>
      <c r="B158" s="10"/>
      <c r="C158" s="10" t="s">
        <v>289</v>
      </c>
      <c r="D158" s="29">
        <v>109</v>
      </c>
      <c r="E158" s="28">
        <f t="shared" si="16"/>
        <v>272</v>
      </c>
      <c r="F158" s="28">
        <f t="shared" si="17"/>
        <v>286</v>
      </c>
      <c r="G158" s="18">
        <v>15</v>
      </c>
      <c r="H158" s="18" t="s">
        <v>18</v>
      </c>
      <c r="I158" s="18">
        <v>4</v>
      </c>
      <c r="J158" s="3"/>
      <c r="K158" s="3" t="s">
        <v>1370</v>
      </c>
    </row>
    <row r="159" spans="1:11" ht="51" x14ac:dyDescent="0.2">
      <c r="A159" s="2">
        <f t="shared" si="15"/>
        <v>144</v>
      </c>
      <c r="B159" s="10"/>
      <c r="C159" s="10" t="s">
        <v>291</v>
      </c>
      <c r="D159" s="29" t="s">
        <v>292</v>
      </c>
      <c r="E159" s="28">
        <f t="shared" si="16"/>
        <v>287</v>
      </c>
      <c r="F159" s="28">
        <f t="shared" si="17"/>
        <v>307</v>
      </c>
      <c r="G159" s="18">
        <v>21</v>
      </c>
      <c r="H159" s="18" t="s">
        <v>18</v>
      </c>
      <c r="I159" s="18">
        <v>10</v>
      </c>
      <c r="J159" s="3"/>
      <c r="K159" s="3" t="s">
        <v>1371</v>
      </c>
    </row>
    <row r="160" spans="1:11" x14ac:dyDescent="0.2">
      <c r="A160" s="2">
        <f t="shared" si="15"/>
        <v>145</v>
      </c>
      <c r="B160" s="10"/>
      <c r="C160" s="10" t="s">
        <v>294</v>
      </c>
      <c r="D160" s="29">
        <v>110</v>
      </c>
      <c r="E160" s="28">
        <f t="shared" si="16"/>
        <v>308</v>
      </c>
      <c r="F160" s="28">
        <f t="shared" si="17"/>
        <v>322</v>
      </c>
      <c r="G160" s="18">
        <v>15</v>
      </c>
      <c r="H160" s="18" t="s">
        <v>18</v>
      </c>
      <c r="I160" s="18">
        <v>2</v>
      </c>
      <c r="J160" s="3"/>
      <c r="K160" s="3"/>
    </row>
    <row r="161" spans="1:11" x14ac:dyDescent="0.2">
      <c r="A161" s="2">
        <f t="shared" si="15"/>
        <v>146</v>
      </c>
      <c r="B161" s="10"/>
      <c r="C161" s="10" t="s">
        <v>295</v>
      </c>
      <c r="D161" s="29">
        <v>114</v>
      </c>
      <c r="E161" s="28">
        <f t="shared" si="16"/>
        <v>323</v>
      </c>
      <c r="F161" s="28">
        <f t="shared" si="17"/>
        <v>337</v>
      </c>
      <c r="G161" s="18">
        <v>15</v>
      </c>
      <c r="H161" s="18" t="s">
        <v>18</v>
      </c>
      <c r="I161" s="18">
        <v>2</v>
      </c>
      <c r="J161" s="3"/>
      <c r="K161" s="3"/>
    </row>
    <row r="162" spans="1:11" x14ac:dyDescent="0.2">
      <c r="A162" s="2">
        <f t="shared" si="15"/>
        <v>147</v>
      </c>
      <c r="B162" s="10"/>
      <c r="C162" s="10" t="s">
        <v>296</v>
      </c>
      <c r="D162" s="29">
        <v>115</v>
      </c>
      <c r="E162" s="28">
        <f t="shared" si="16"/>
        <v>338</v>
      </c>
      <c r="F162" s="28">
        <f t="shared" si="17"/>
        <v>352</v>
      </c>
      <c r="G162" s="18">
        <v>15</v>
      </c>
      <c r="H162" s="18" t="s">
        <v>18</v>
      </c>
      <c r="I162" s="18">
        <v>2</v>
      </c>
      <c r="J162" s="3"/>
      <c r="K162" s="3"/>
    </row>
    <row r="163" spans="1:11" x14ac:dyDescent="0.2">
      <c r="A163" s="2">
        <f t="shared" si="15"/>
        <v>148</v>
      </c>
      <c r="B163" s="10"/>
      <c r="C163" s="10" t="s">
        <v>297</v>
      </c>
      <c r="D163" s="29">
        <v>116</v>
      </c>
      <c r="E163" s="28">
        <f t="shared" si="16"/>
        <v>353</v>
      </c>
      <c r="F163" s="28">
        <f t="shared" si="17"/>
        <v>367</v>
      </c>
      <c r="G163" s="18">
        <v>15</v>
      </c>
      <c r="H163" s="18" t="s">
        <v>18</v>
      </c>
      <c r="I163" s="18">
        <v>2</v>
      </c>
      <c r="J163" s="3"/>
      <c r="K163" s="3"/>
    </row>
    <row r="164" spans="1:11" ht="22.5" customHeight="1" x14ac:dyDescent="0.2">
      <c r="A164" s="2">
        <f t="shared" si="15"/>
        <v>149</v>
      </c>
      <c r="B164" s="10"/>
      <c r="C164" s="10" t="s">
        <v>298</v>
      </c>
      <c r="D164" s="29" t="s">
        <v>299</v>
      </c>
      <c r="E164" s="28">
        <f t="shared" si="16"/>
        <v>368</v>
      </c>
      <c r="F164" s="28">
        <f t="shared" si="17"/>
        <v>382</v>
      </c>
      <c r="G164" s="18">
        <v>15</v>
      </c>
      <c r="H164" s="18" t="s">
        <v>18</v>
      </c>
      <c r="I164" s="18">
        <v>2</v>
      </c>
      <c r="J164" s="3"/>
      <c r="K164" s="3"/>
    </row>
    <row r="165" spans="1:11" ht="55.5" customHeight="1" x14ac:dyDescent="0.2">
      <c r="A165" s="2">
        <f t="shared" si="15"/>
        <v>150</v>
      </c>
      <c r="B165" s="10"/>
      <c r="C165" s="10" t="s">
        <v>300</v>
      </c>
      <c r="D165" s="29" t="s">
        <v>301</v>
      </c>
      <c r="E165" s="28">
        <f t="shared" si="16"/>
        <v>383</v>
      </c>
      <c r="F165" s="28">
        <f t="shared" si="17"/>
        <v>383</v>
      </c>
      <c r="G165" s="18">
        <v>1</v>
      </c>
      <c r="H165" s="18" t="s">
        <v>18</v>
      </c>
      <c r="I165" s="18"/>
      <c r="J165" s="3"/>
      <c r="K165" s="3" t="s">
        <v>302</v>
      </c>
    </row>
    <row r="166" spans="1:11" ht="36" customHeight="1" x14ac:dyDescent="0.2">
      <c r="A166" s="2">
        <f t="shared" si="15"/>
        <v>151</v>
      </c>
      <c r="B166" s="10"/>
      <c r="C166" s="10" t="s">
        <v>303</v>
      </c>
      <c r="D166" s="141" t="s">
        <v>304</v>
      </c>
      <c r="E166" s="28">
        <f t="shared" si="16"/>
        <v>384</v>
      </c>
      <c r="F166" s="28">
        <f t="shared" si="17"/>
        <v>398</v>
      </c>
      <c r="G166" s="18">
        <v>15</v>
      </c>
      <c r="H166" s="18" t="s">
        <v>15</v>
      </c>
      <c r="I166" s="18"/>
      <c r="J166" s="3"/>
      <c r="K166" s="3" t="s">
        <v>305</v>
      </c>
    </row>
    <row r="167" spans="1:11" ht="37.5" customHeight="1" x14ac:dyDescent="0.2">
      <c r="A167" s="2">
        <f t="shared" si="15"/>
        <v>152</v>
      </c>
      <c r="B167" s="10"/>
      <c r="C167" s="10" t="s">
        <v>306</v>
      </c>
      <c r="D167" s="141" t="s">
        <v>307</v>
      </c>
      <c r="E167" s="28">
        <f t="shared" si="16"/>
        <v>399</v>
      </c>
      <c r="F167" s="28">
        <f t="shared" si="17"/>
        <v>404</v>
      </c>
      <c r="G167" s="18">
        <v>6</v>
      </c>
      <c r="H167" s="18" t="s">
        <v>18</v>
      </c>
      <c r="I167" s="18"/>
      <c r="J167" s="3"/>
      <c r="K167" s="3" t="s">
        <v>308</v>
      </c>
    </row>
    <row r="168" spans="1:11" ht="37.5" customHeight="1" x14ac:dyDescent="0.2">
      <c r="A168" s="2">
        <v>153</v>
      </c>
      <c r="B168" s="10"/>
      <c r="C168" s="10" t="s">
        <v>309</v>
      </c>
      <c r="D168" s="145" t="s">
        <v>310</v>
      </c>
      <c r="E168" s="107">
        <f t="shared" si="16"/>
        <v>405</v>
      </c>
      <c r="F168" s="107">
        <f t="shared" si="17"/>
        <v>418</v>
      </c>
      <c r="G168" s="18">
        <v>14</v>
      </c>
      <c r="H168" s="18" t="s">
        <v>15</v>
      </c>
      <c r="I168" s="18"/>
      <c r="J168" s="34"/>
      <c r="K168" s="34"/>
    </row>
    <row r="169" spans="1:11" s="143" customFormat="1" ht="37.5" customHeight="1" x14ac:dyDescent="0.2">
      <c r="A169" s="144">
        <v>154</v>
      </c>
      <c r="B169" s="49"/>
      <c r="C169" s="49" t="s">
        <v>312</v>
      </c>
      <c r="D169" s="145" t="s">
        <v>313</v>
      </c>
      <c r="E169" s="146">
        <v>419</v>
      </c>
      <c r="F169" s="146">
        <v>433</v>
      </c>
      <c r="G169" s="147">
        <v>15</v>
      </c>
      <c r="H169" s="147" t="s">
        <v>18</v>
      </c>
      <c r="I169" s="147">
        <v>2</v>
      </c>
      <c r="J169" s="48"/>
      <c r="K169" s="48"/>
    </row>
    <row r="170" spans="1:11" s="143" customFormat="1" ht="37.5" customHeight="1" x14ac:dyDescent="0.2">
      <c r="A170" s="138">
        <v>155</v>
      </c>
      <c r="B170" s="139"/>
      <c r="C170" s="139" t="s">
        <v>314</v>
      </c>
      <c r="D170" s="141" t="s">
        <v>315</v>
      </c>
      <c r="E170" s="69">
        <v>434</v>
      </c>
      <c r="F170" s="69">
        <v>439</v>
      </c>
      <c r="G170" s="68">
        <v>6</v>
      </c>
      <c r="H170" s="68" t="s">
        <v>15</v>
      </c>
      <c r="I170" s="68"/>
      <c r="J170" s="140"/>
      <c r="K170" s="140" t="s">
        <v>1372</v>
      </c>
    </row>
    <row r="171" spans="1:11" x14ac:dyDescent="0.2">
      <c r="A171" s="2">
        <v>156</v>
      </c>
      <c r="B171" s="10"/>
      <c r="C171" s="10" t="s">
        <v>28</v>
      </c>
      <c r="D171" s="29" t="s">
        <v>14</v>
      </c>
      <c r="E171" s="28">
        <v>426</v>
      </c>
      <c r="F171" s="28">
        <v>600</v>
      </c>
      <c r="G171" s="28">
        <f>F171-F170</f>
        <v>161</v>
      </c>
      <c r="H171" s="28" t="s">
        <v>15</v>
      </c>
      <c r="I171" s="28"/>
      <c r="J171" s="3"/>
      <c r="K171" s="3" t="s">
        <v>29</v>
      </c>
    </row>
    <row r="172" spans="1:11" x14ac:dyDescent="0.2">
      <c r="A172" s="2">
        <f t="shared" si="15"/>
        <v>157</v>
      </c>
      <c r="B172" s="159" t="s">
        <v>335</v>
      </c>
      <c r="C172" s="158"/>
      <c r="D172" s="29" t="s">
        <v>14</v>
      </c>
      <c r="E172" s="28">
        <f>$F$16+1</f>
        <v>7</v>
      </c>
      <c r="F172" s="28">
        <f>G172+$F$16</f>
        <v>9</v>
      </c>
      <c r="G172" s="28">
        <v>3</v>
      </c>
      <c r="H172" s="28" t="s">
        <v>18</v>
      </c>
      <c r="I172" s="28"/>
      <c r="J172" s="3"/>
      <c r="K172" s="158" t="s">
        <v>336</v>
      </c>
    </row>
    <row r="173" spans="1:11" ht="15" x14ac:dyDescent="0.2">
      <c r="A173" s="2">
        <f t="shared" ref="A173:A211" si="18">A172+1</f>
        <v>158</v>
      </c>
      <c r="B173" s="10"/>
      <c r="C173" s="165" t="s">
        <v>267</v>
      </c>
      <c r="D173" s="55">
        <v>99</v>
      </c>
      <c r="E173" s="28">
        <f t="shared" ref="E173:E179" si="19">F172+1</f>
        <v>10</v>
      </c>
      <c r="F173" s="28">
        <f t="shared" ref="F173:F179" si="20">F172+G173</f>
        <v>12</v>
      </c>
      <c r="G173" s="18">
        <v>3</v>
      </c>
      <c r="H173" s="18" t="s">
        <v>18</v>
      </c>
      <c r="I173" s="28"/>
      <c r="J173" s="3"/>
      <c r="K173" s="3" t="s">
        <v>268</v>
      </c>
    </row>
    <row r="174" spans="1:11" ht="15" x14ac:dyDescent="0.2">
      <c r="A174" s="2">
        <f t="shared" si="18"/>
        <v>159</v>
      </c>
      <c r="B174" s="24"/>
      <c r="C174" s="10" t="s">
        <v>364</v>
      </c>
      <c r="D174" s="55">
        <v>118</v>
      </c>
      <c r="E174" s="28">
        <f t="shared" si="19"/>
        <v>13</v>
      </c>
      <c r="F174" s="28">
        <f t="shared" si="20"/>
        <v>22</v>
      </c>
      <c r="G174" s="18">
        <v>10</v>
      </c>
      <c r="H174" s="18" t="s">
        <v>15</v>
      </c>
      <c r="I174" s="18"/>
      <c r="J174" s="3"/>
      <c r="K174" s="3"/>
    </row>
    <row r="175" spans="1:11" ht="15" x14ac:dyDescent="0.2">
      <c r="A175" s="2">
        <f t="shared" si="18"/>
        <v>160</v>
      </c>
      <c r="B175" s="13"/>
      <c r="C175" s="10" t="s">
        <v>338</v>
      </c>
      <c r="D175" s="55">
        <v>119</v>
      </c>
      <c r="E175" s="28">
        <f t="shared" si="19"/>
        <v>23</v>
      </c>
      <c r="F175" s="28">
        <f t="shared" si="20"/>
        <v>32</v>
      </c>
      <c r="G175" s="18">
        <v>10</v>
      </c>
      <c r="H175" s="18" t="s">
        <v>106</v>
      </c>
      <c r="I175" s="18"/>
      <c r="J175" s="3" t="s">
        <v>107</v>
      </c>
      <c r="K175" s="3"/>
    </row>
    <row r="176" spans="1:11" ht="15" x14ac:dyDescent="0.2">
      <c r="A176" s="2">
        <f t="shared" si="18"/>
        <v>161</v>
      </c>
      <c r="B176" s="13"/>
      <c r="C176" s="10" t="s">
        <v>339</v>
      </c>
      <c r="D176" s="55">
        <v>120</v>
      </c>
      <c r="E176" s="28">
        <f t="shared" si="19"/>
        <v>33</v>
      </c>
      <c r="F176" s="28">
        <f t="shared" si="20"/>
        <v>92</v>
      </c>
      <c r="G176" s="18">
        <v>60</v>
      </c>
      <c r="H176" s="18" t="s">
        <v>15</v>
      </c>
      <c r="I176" s="18"/>
      <c r="J176" s="3"/>
      <c r="K176" s="3"/>
    </row>
    <row r="177" spans="1:11" ht="15" x14ac:dyDescent="0.2">
      <c r="A177" s="2">
        <f t="shared" si="18"/>
        <v>162</v>
      </c>
      <c r="B177" s="13"/>
      <c r="C177" s="10" t="s">
        <v>340</v>
      </c>
      <c r="D177" s="55">
        <v>121</v>
      </c>
      <c r="E177" s="28">
        <f t="shared" si="19"/>
        <v>93</v>
      </c>
      <c r="F177" s="28">
        <f t="shared" si="20"/>
        <v>94</v>
      </c>
      <c r="G177" s="18">
        <v>2</v>
      </c>
      <c r="H177" s="18" t="s">
        <v>15</v>
      </c>
      <c r="I177" s="18"/>
      <c r="J177" s="3"/>
      <c r="K177" s="3"/>
    </row>
    <row r="178" spans="1:11" ht="15" x14ac:dyDescent="0.2">
      <c r="A178" s="2">
        <f t="shared" si="18"/>
        <v>163</v>
      </c>
      <c r="B178" s="13"/>
      <c r="C178" s="10" t="s">
        <v>341</v>
      </c>
      <c r="D178" s="55">
        <v>122</v>
      </c>
      <c r="E178" s="28">
        <f t="shared" si="19"/>
        <v>95</v>
      </c>
      <c r="F178" s="28">
        <f t="shared" si="20"/>
        <v>104</v>
      </c>
      <c r="G178" s="18">
        <v>10</v>
      </c>
      <c r="H178" s="18" t="s">
        <v>106</v>
      </c>
      <c r="I178" s="18"/>
      <c r="J178" s="3" t="s">
        <v>107</v>
      </c>
      <c r="K178" s="3"/>
    </row>
    <row r="179" spans="1:11" ht="15" x14ac:dyDescent="0.2">
      <c r="A179" s="2">
        <f t="shared" si="18"/>
        <v>164</v>
      </c>
      <c r="B179" s="13"/>
      <c r="C179" s="10" t="s">
        <v>342</v>
      </c>
      <c r="D179" s="55">
        <v>123</v>
      </c>
      <c r="E179" s="28">
        <f t="shared" si="19"/>
        <v>105</v>
      </c>
      <c r="F179" s="28">
        <f t="shared" si="20"/>
        <v>164</v>
      </c>
      <c r="G179" s="18">
        <v>60</v>
      </c>
      <c r="H179" s="18" t="s">
        <v>15</v>
      </c>
      <c r="I179" s="18"/>
      <c r="J179" s="3"/>
      <c r="K179" s="3"/>
    </row>
    <row r="180" spans="1:11" s="143" customFormat="1" x14ac:dyDescent="0.2">
      <c r="A180" s="147">
        <f t="shared" si="18"/>
        <v>165</v>
      </c>
      <c r="B180" s="49"/>
      <c r="C180" s="49" t="s">
        <v>343</v>
      </c>
      <c r="D180" s="145" t="s">
        <v>344</v>
      </c>
      <c r="E180" s="145">
        <v>165</v>
      </c>
      <c r="F180" s="145">
        <v>200</v>
      </c>
      <c r="G180" s="145">
        <v>36</v>
      </c>
      <c r="H180" s="145"/>
      <c r="I180" s="145"/>
      <c r="J180" s="145"/>
      <c r="K180" s="145"/>
    </row>
    <row r="181" spans="1:11" s="143" customFormat="1" x14ac:dyDescent="0.2">
      <c r="A181" s="138">
        <v>166</v>
      </c>
      <c r="B181" s="139"/>
      <c r="C181" s="139" t="s">
        <v>345</v>
      </c>
      <c r="D181" s="141" t="s">
        <v>346</v>
      </c>
      <c r="E181" s="69">
        <v>201</v>
      </c>
      <c r="F181" s="69">
        <v>202</v>
      </c>
      <c r="G181" s="68">
        <v>2</v>
      </c>
      <c r="H181" s="68" t="s">
        <v>18</v>
      </c>
      <c r="I181" s="68"/>
      <c r="J181" s="140"/>
      <c r="K181" s="140"/>
    </row>
    <row r="182" spans="1:11" s="143" customFormat="1" x14ac:dyDescent="0.2">
      <c r="A182" s="138">
        <v>167</v>
      </c>
      <c r="B182" s="139"/>
      <c r="C182" s="139" t="s">
        <v>348</v>
      </c>
      <c r="D182" s="141" t="s">
        <v>349</v>
      </c>
      <c r="E182" s="69">
        <v>203</v>
      </c>
      <c r="F182" s="69">
        <v>217</v>
      </c>
      <c r="G182" s="68">
        <v>15</v>
      </c>
      <c r="H182" s="68" t="s">
        <v>18</v>
      </c>
      <c r="I182" s="68">
        <v>2</v>
      </c>
      <c r="J182" s="140"/>
      <c r="K182" s="140"/>
    </row>
    <row r="183" spans="1:11" s="143" customFormat="1" x14ac:dyDescent="0.2">
      <c r="A183" s="138">
        <v>168</v>
      </c>
      <c r="B183" s="139"/>
      <c r="C183" s="139" t="s">
        <v>351</v>
      </c>
      <c r="D183" s="141" t="s">
        <v>352</v>
      </c>
      <c r="E183" s="69">
        <v>218</v>
      </c>
      <c r="F183" s="69">
        <v>218</v>
      </c>
      <c r="G183" s="68">
        <v>1</v>
      </c>
      <c r="H183" s="68" t="s">
        <v>18</v>
      </c>
      <c r="I183" s="68"/>
      <c r="J183" s="140"/>
      <c r="K183" s="140"/>
    </row>
    <row r="184" spans="1:11" s="143" customFormat="1" x14ac:dyDescent="0.2">
      <c r="A184" s="138">
        <v>169</v>
      </c>
      <c r="B184" s="139"/>
      <c r="C184" s="139" t="s">
        <v>354</v>
      </c>
      <c r="D184" s="141" t="s">
        <v>355</v>
      </c>
      <c r="E184" s="69">
        <v>219</v>
      </c>
      <c r="F184" s="69">
        <v>232</v>
      </c>
      <c r="G184" s="68">
        <v>14</v>
      </c>
      <c r="H184" s="68" t="s">
        <v>18</v>
      </c>
      <c r="I184" s="68"/>
      <c r="J184" s="140"/>
      <c r="K184" s="140"/>
    </row>
    <row r="185" spans="1:11" s="143" customFormat="1" x14ac:dyDescent="0.2">
      <c r="A185" s="138">
        <v>170</v>
      </c>
      <c r="B185" s="139"/>
      <c r="C185" s="139" t="s">
        <v>357</v>
      </c>
      <c r="D185" s="141" t="s">
        <v>358</v>
      </c>
      <c r="E185" s="69">
        <v>233</v>
      </c>
      <c r="F185" s="69">
        <v>234</v>
      </c>
      <c r="G185" s="68">
        <v>2</v>
      </c>
      <c r="H185" s="68" t="s">
        <v>15</v>
      </c>
      <c r="I185" s="68"/>
      <c r="J185" s="140"/>
      <c r="K185" s="140"/>
    </row>
    <row r="186" spans="1:11" x14ac:dyDescent="0.2">
      <c r="A186" s="2">
        <f>A180+1</f>
        <v>166</v>
      </c>
      <c r="B186" s="10"/>
      <c r="C186" s="10" t="s">
        <v>28</v>
      </c>
      <c r="D186" s="29" t="s">
        <v>14</v>
      </c>
      <c r="E186" s="28">
        <v>201</v>
      </c>
      <c r="F186" s="28">
        <v>600</v>
      </c>
      <c r="G186" s="28">
        <f>F186-F185</f>
        <v>366</v>
      </c>
      <c r="H186" s="28" t="s">
        <v>15</v>
      </c>
      <c r="I186" s="28"/>
      <c r="J186" s="3"/>
      <c r="K186" s="3" t="s">
        <v>29</v>
      </c>
    </row>
    <row r="187" spans="1:11" x14ac:dyDescent="0.2">
      <c r="A187" s="2">
        <f t="shared" si="18"/>
        <v>167</v>
      </c>
      <c r="B187" s="159" t="s">
        <v>362</v>
      </c>
      <c r="C187" s="158"/>
      <c r="D187" s="29" t="s">
        <v>14</v>
      </c>
      <c r="E187" s="28">
        <f>$F$16+1</f>
        <v>7</v>
      </c>
      <c r="F187" s="28">
        <f>G187+$F$16</f>
        <v>9</v>
      </c>
      <c r="G187" s="28">
        <v>3</v>
      </c>
      <c r="H187" s="28" t="s">
        <v>18</v>
      </c>
      <c r="I187" s="28"/>
      <c r="J187" s="3"/>
      <c r="K187" s="158" t="s">
        <v>363</v>
      </c>
    </row>
    <row r="188" spans="1:11" ht="15" x14ac:dyDescent="0.2">
      <c r="A188" s="2">
        <f t="shared" si="18"/>
        <v>168</v>
      </c>
      <c r="B188" s="10"/>
      <c r="C188" s="165" t="s">
        <v>267</v>
      </c>
      <c r="D188" s="55">
        <v>99</v>
      </c>
      <c r="E188" s="28">
        <f t="shared" ref="E188:E193" si="21">F187+1</f>
        <v>10</v>
      </c>
      <c r="F188" s="28">
        <f t="shared" ref="F188:F193" si="22">F187+G188</f>
        <v>12</v>
      </c>
      <c r="G188" s="18">
        <v>3</v>
      </c>
      <c r="H188" s="18" t="s">
        <v>18</v>
      </c>
      <c r="I188" s="28"/>
      <c r="J188" s="3"/>
      <c r="K188" s="3" t="s">
        <v>268</v>
      </c>
    </row>
    <row r="189" spans="1:11" ht="15" x14ac:dyDescent="0.2">
      <c r="A189" s="2">
        <f t="shared" si="18"/>
        <v>169</v>
      </c>
      <c r="B189" s="24"/>
      <c r="C189" s="10" t="s">
        <v>364</v>
      </c>
      <c r="D189" s="55">
        <v>118</v>
      </c>
      <c r="E189" s="28">
        <f t="shared" si="21"/>
        <v>13</v>
      </c>
      <c r="F189" s="28">
        <f t="shared" si="22"/>
        <v>22</v>
      </c>
      <c r="G189" s="18">
        <v>10</v>
      </c>
      <c r="H189" s="18" t="s">
        <v>15</v>
      </c>
      <c r="I189" s="18"/>
      <c r="J189" s="3"/>
      <c r="K189" s="3" t="s">
        <v>365</v>
      </c>
    </row>
    <row r="190" spans="1:11" ht="15" x14ac:dyDescent="0.2">
      <c r="A190" s="2">
        <f t="shared" si="18"/>
        <v>170</v>
      </c>
      <c r="B190" s="13"/>
      <c r="C190" s="10" t="s">
        <v>366</v>
      </c>
      <c r="D190" s="55">
        <v>125</v>
      </c>
      <c r="E190" s="28">
        <f t="shared" si="21"/>
        <v>23</v>
      </c>
      <c r="F190" s="28">
        <f t="shared" si="22"/>
        <v>25</v>
      </c>
      <c r="G190" s="18">
        <v>3</v>
      </c>
      <c r="H190" s="18" t="s">
        <v>18</v>
      </c>
      <c r="I190" s="18"/>
      <c r="J190" s="3"/>
      <c r="K190" s="3"/>
    </row>
    <row r="191" spans="1:11" ht="15" x14ac:dyDescent="0.2">
      <c r="A191" s="2">
        <f t="shared" si="18"/>
        <v>171</v>
      </c>
      <c r="B191" s="13"/>
      <c r="C191" s="10" t="s">
        <v>1373</v>
      </c>
      <c r="D191" s="55">
        <v>126</v>
      </c>
      <c r="E191" s="28">
        <f t="shared" si="21"/>
        <v>26</v>
      </c>
      <c r="F191" s="28">
        <f t="shared" si="22"/>
        <v>28</v>
      </c>
      <c r="G191" s="18">
        <v>3</v>
      </c>
      <c r="H191" s="18" t="s">
        <v>18</v>
      </c>
      <c r="I191" s="18"/>
      <c r="J191" s="3"/>
      <c r="K191" s="3"/>
    </row>
    <row r="192" spans="1:11" ht="15" x14ac:dyDescent="0.2">
      <c r="A192" s="2">
        <f t="shared" si="18"/>
        <v>172</v>
      </c>
      <c r="B192" s="13"/>
      <c r="C192" s="10" t="s">
        <v>368</v>
      </c>
      <c r="D192" s="55">
        <v>127</v>
      </c>
      <c r="E192" s="28">
        <f t="shared" si="21"/>
        <v>29</v>
      </c>
      <c r="F192" s="28">
        <f t="shared" si="22"/>
        <v>88</v>
      </c>
      <c r="G192" s="18">
        <v>60</v>
      </c>
      <c r="H192" s="18" t="s">
        <v>15</v>
      </c>
      <c r="I192" s="18"/>
      <c r="J192" s="3"/>
      <c r="K192" s="3"/>
    </row>
    <row r="193" spans="1:11" ht="15" x14ac:dyDescent="0.2">
      <c r="A193" s="2">
        <f t="shared" si="18"/>
        <v>173</v>
      </c>
      <c r="B193" s="13"/>
      <c r="C193" s="10" t="s">
        <v>369</v>
      </c>
      <c r="D193" s="55">
        <v>128</v>
      </c>
      <c r="E193" s="28">
        <f t="shared" si="21"/>
        <v>89</v>
      </c>
      <c r="F193" s="28">
        <f t="shared" si="22"/>
        <v>103</v>
      </c>
      <c r="G193" s="18">
        <v>15</v>
      </c>
      <c r="H193" s="18" t="s">
        <v>18</v>
      </c>
      <c r="I193" s="18">
        <v>2</v>
      </c>
      <c r="J193" s="3"/>
      <c r="K193" s="3"/>
    </row>
    <row r="194" spans="1:11" ht="15" x14ac:dyDescent="0.2">
      <c r="A194" s="138">
        <v>174</v>
      </c>
      <c r="B194" s="177"/>
      <c r="C194" s="139" t="s">
        <v>370</v>
      </c>
      <c r="D194" s="178" t="s">
        <v>371</v>
      </c>
      <c r="E194" s="69">
        <v>104</v>
      </c>
      <c r="F194" s="69">
        <v>114</v>
      </c>
      <c r="G194" s="68">
        <v>11</v>
      </c>
      <c r="H194" s="68" t="s">
        <v>18</v>
      </c>
      <c r="I194" s="68"/>
      <c r="J194" s="140"/>
      <c r="K194" s="140"/>
    </row>
    <row r="195" spans="1:11" x14ac:dyDescent="0.2">
      <c r="A195" s="2">
        <v>175</v>
      </c>
      <c r="B195" s="10"/>
      <c r="C195" s="10" t="s">
        <v>28</v>
      </c>
      <c r="D195" s="29" t="s">
        <v>14</v>
      </c>
      <c r="E195" s="28">
        <f>F193+1</f>
        <v>104</v>
      </c>
      <c r="F195" s="28">
        <v>600</v>
      </c>
      <c r="G195" s="28">
        <f>F195-F194</f>
        <v>486</v>
      </c>
      <c r="H195" s="28" t="s">
        <v>15</v>
      </c>
      <c r="I195" s="28"/>
      <c r="J195" s="3"/>
      <c r="K195" s="3" t="s">
        <v>29</v>
      </c>
    </row>
    <row r="196" spans="1:11" x14ac:dyDescent="0.2">
      <c r="A196" s="2">
        <f t="shared" si="18"/>
        <v>176</v>
      </c>
      <c r="B196" s="159" t="s">
        <v>373</v>
      </c>
      <c r="C196" s="158"/>
      <c r="D196" s="29" t="s">
        <v>14</v>
      </c>
      <c r="E196" s="28">
        <f>$F$16+1</f>
        <v>7</v>
      </c>
      <c r="F196" s="28">
        <f>G196+$F$16</f>
        <v>9</v>
      </c>
      <c r="G196" s="28">
        <v>3</v>
      </c>
      <c r="H196" s="28" t="s">
        <v>18</v>
      </c>
      <c r="I196" s="28"/>
      <c r="J196" s="3"/>
      <c r="K196" s="197" t="s">
        <v>374</v>
      </c>
    </row>
    <row r="197" spans="1:11" ht="15" x14ac:dyDescent="0.2">
      <c r="A197" s="2">
        <f t="shared" si="18"/>
        <v>177</v>
      </c>
      <c r="B197" s="10"/>
      <c r="C197" s="165" t="s">
        <v>267</v>
      </c>
      <c r="D197" s="55">
        <v>99</v>
      </c>
      <c r="E197" s="28">
        <f t="shared" ref="E197:E223" si="23">F196+1</f>
        <v>10</v>
      </c>
      <c r="F197" s="28">
        <f t="shared" ref="F197:F222" si="24">F196+G197</f>
        <v>12</v>
      </c>
      <c r="G197" s="18">
        <v>3</v>
      </c>
      <c r="H197" s="18" t="s">
        <v>18</v>
      </c>
      <c r="I197" s="28"/>
      <c r="J197" s="3"/>
      <c r="K197" s="3" t="s">
        <v>268</v>
      </c>
    </row>
    <row r="198" spans="1:11" ht="51" x14ac:dyDescent="0.2">
      <c r="A198" s="2">
        <f t="shared" si="18"/>
        <v>178</v>
      </c>
      <c r="B198" s="10"/>
      <c r="C198" s="30" t="s">
        <v>375</v>
      </c>
      <c r="D198" s="56">
        <v>130</v>
      </c>
      <c r="E198" s="28">
        <f t="shared" si="23"/>
        <v>13</v>
      </c>
      <c r="F198" s="28">
        <f t="shared" si="24"/>
        <v>13</v>
      </c>
      <c r="G198" s="35">
        <v>1</v>
      </c>
      <c r="H198" s="35" t="s">
        <v>18</v>
      </c>
      <c r="I198" s="35"/>
      <c r="J198" s="3"/>
      <c r="K198" s="3" t="s">
        <v>376</v>
      </c>
    </row>
    <row r="199" spans="1:11" ht="15" x14ac:dyDescent="0.2">
      <c r="A199" s="2">
        <f t="shared" si="18"/>
        <v>179</v>
      </c>
      <c r="B199" s="10"/>
      <c r="C199" s="30" t="s">
        <v>377</v>
      </c>
      <c r="D199" s="56">
        <v>131</v>
      </c>
      <c r="E199" s="28">
        <f t="shared" si="23"/>
        <v>14</v>
      </c>
      <c r="F199" s="28">
        <f t="shared" si="24"/>
        <v>30</v>
      </c>
      <c r="G199" s="35">
        <v>17</v>
      </c>
      <c r="H199" s="35" t="s">
        <v>15</v>
      </c>
      <c r="I199" s="35"/>
      <c r="J199" s="3"/>
      <c r="K199" s="3"/>
    </row>
    <row r="200" spans="1:11" ht="15" x14ac:dyDescent="0.2">
      <c r="A200" s="2">
        <f t="shared" si="18"/>
        <v>180</v>
      </c>
      <c r="B200" s="10"/>
      <c r="C200" s="30" t="s">
        <v>378</v>
      </c>
      <c r="D200" s="56">
        <v>132</v>
      </c>
      <c r="E200" s="28">
        <f t="shared" si="23"/>
        <v>31</v>
      </c>
      <c r="F200" s="28">
        <f t="shared" si="24"/>
        <v>34</v>
      </c>
      <c r="G200" s="35">
        <v>4</v>
      </c>
      <c r="H200" s="35" t="s">
        <v>15</v>
      </c>
      <c r="I200" s="35"/>
      <c r="J200" s="3"/>
      <c r="K200" s="3" t="s">
        <v>379</v>
      </c>
    </row>
    <row r="201" spans="1:11" ht="15" x14ac:dyDescent="0.2">
      <c r="A201" s="2">
        <f t="shared" si="18"/>
        <v>181</v>
      </c>
      <c r="B201" s="10"/>
      <c r="C201" s="30" t="s">
        <v>380</v>
      </c>
      <c r="D201" s="56">
        <v>133</v>
      </c>
      <c r="E201" s="28">
        <f t="shared" si="23"/>
        <v>35</v>
      </c>
      <c r="F201" s="28">
        <f t="shared" si="24"/>
        <v>74</v>
      </c>
      <c r="G201" s="35">
        <v>40</v>
      </c>
      <c r="H201" s="35" t="s">
        <v>15</v>
      </c>
      <c r="I201" s="35"/>
      <c r="J201" s="3"/>
      <c r="K201" s="3"/>
    </row>
    <row r="202" spans="1:11" ht="15" x14ac:dyDescent="0.2">
      <c r="A202" s="2">
        <f t="shared" si="18"/>
        <v>182</v>
      </c>
      <c r="B202" s="10"/>
      <c r="C202" s="30" t="s">
        <v>381</v>
      </c>
      <c r="D202" s="56">
        <v>134</v>
      </c>
      <c r="E202" s="28">
        <f t="shared" si="23"/>
        <v>75</v>
      </c>
      <c r="F202" s="28">
        <f t="shared" si="24"/>
        <v>78</v>
      </c>
      <c r="G202" s="35">
        <v>4</v>
      </c>
      <c r="H202" s="35" t="s">
        <v>15</v>
      </c>
      <c r="I202" s="35"/>
      <c r="J202" s="3"/>
      <c r="K202" s="3" t="s">
        <v>382</v>
      </c>
    </row>
    <row r="203" spans="1:11" ht="25.5" x14ac:dyDescent="0.2">
      <c r="A203" s="2">
        <f t="shared" si="18"/>
        <v>183</v>
      </c>
      <c r="B203" s="10"/>
      <c r="C203" s="30" t="s">
        <v>383</v>
      </c>
      <c r="D203" s="56">
        <v>135</v>
      </c>
      <c r="E203" s="28">
        <f t="shared" si="23"/>
        <v>79</v>
      </c>
      <c r="F203" s="28">
        <f t="shared" si="24"/>
        <v>82</v>
      </c>
      <c r="G203" s="35">
        <v>4</v>
      </c>
      <c r="H203" s="35" t="s">
        <v>15</v>
      </c>
      <c r="I203" s="35"/>
      <c r="J203" s="3"/>
      <c r="K203" s="3" t="s">
        <v>384</v>
      </c>
    </row>
    <row r="204" spans="1:11" ht="15" x14ac:dyDescent="0.2">
      <c r="A204" s="2">
        <f t="shared" si="18"/>
        <v>184</v>
      </c>
      <c r="B204" s="10"/>
      <c r="C204" s="30" t="s">
        <v>385</v>
      </c>
      <c r="D204" s="56">
        <v>136</v>
      </c>
      <c r="E204" s="28">
        <f t="shared" si="23"/>
        <v>83</v>
      </c>
      <c r="F204" s="28">
        <f t="shared" si="24"/>
        <v>91</v>
      </c>
      <c r="G204" s="35">
        <v>9</v>
      </c>
      <c r="H204" s="35" t="s">
        <v>15</v>
      </c>
      <c r="I204" s="35"/>
      <c r="J204" s="3"/>
      <c r="K204" s="3"/>
    </row>
    <row r="205" spans="1:11" ht="15" x14ac:dyDescent="0.2">
      <c r="A205" s="2">
        <f t="shared" si="18"/>
        <v>185</v>
      </c>
      <c r="B205" s="10"/>
      <c r="C205" s="30" t="s">
        <v>386</v>
      </c>
      <c r="D205" s="56">
        <v>137</v>
      </c>
      <c r="E205" s="28">
        <f t="shared" si="23"/>
        <v>92</v>
      </c>
      <c r="F205" s="28">
        <f t="shared" si="24"/>
        <v>100</v>
      </c>
      <c r="G205" s="35">
        <v>9</v>
      </c>
      <c r="H205" s="35" t="s">
        <v>15</v>
      </c>
      <c r="I205" s="35"/>
      <c r="J205" s="3"/>
      <c r="K205" s="3"/>
    </row>
    <row r="206" spans="1:11" ht="15" x14ac:dyDescent="0.2">
      <c r="A206" s="2">
        <f t="shared" si="18"/>
        <v>186</v>
      </c>
      <c r="B206" s="10"/>
      <c r="C206" s="30" t="s">
        <v>387</v>
      </c>
      <c r="D206" s="56">
        <v>138</v>
      </c>
      <c r="E206" s="28">
        <f t="shared" si="23"/>
        <v>101</v>
      </c>
      <c r="F206" s="28">
        <f t="shared" si="24"/>
        <v>109</v>
      </c>
      <c r="G206" s="35">
        <v>9</v>
      </c>
      <c r="H206" s="35" t="s">
        <v>15</v>
      </c>
      <c r="I206" s="35"/>
      <c r="J206" s="3"/>
      <c r="K206" s="3"/>
    </row>
    <row r="207" spans="1:11" ht="15" x14ac:dyDescent="0.2">
      <c r="A207" s="2">
        <f t="shared" si="18"/>
        <v>187</v>
      </c>
      <c r="B207" s="10"/>
      <c r="C207" s="30" t="s">
        <v>388</v>
      </c>
      <c r="D207" s="56">
        <v>139</v>
      </c>
      <c r="E207" s="28">
        <f t="shared" si="23"/>
        <v>110</v>
      </c>
      <c r="F207" s="28">
        <f t="shared" si="24"/>
        <v>111</v>
      </c>
      <c r="G207" s="28">
        <v>2</v>
      </c>
      <c r="H207" s="35" t="s">
        <v>15</v>
      </c>
      <c r="I207" s="35"/>
      <c r="J207" s="3"/>
      <c r="K207" s="3" t="s">
        <v>389</v>
      </c>
    </row>
    <row r="208" spans="1:11" ht="15" x14ac:dyDescent="0.2">
      <c r="A208" s="2">
        <f t="shared" si="18"/>
        <v>188</v>
      </c>
      <c r="B208" s="10"/>
      <c r="C208" s="30" t="s">
        <v>390</v>
      </c>
      <c r="D208" s="56">
        <v>140</v>
      </c>
      <c r="E208" s="28">
        <f t="shared" si="23"/>
        <v>112</v>
      </c>
      <c r="F208" s="28">
        <f t="shared" si="24"/>
        <v>132</v>
      </c>
      <c r="G208" s="35">
        <v>21</v>
      </c>
      <c r="H208" s="35" t="s">
        <v>15</v>
      </c>
      <c r="I208" s="35"/>
      <c r="J208" s="3"/>
      <c r="K208" s="3"/>
    </row>
    <row r="209" spans="1:11" ht="25.5" x14ac:dyDescent="0.2">
      <c r="A209" s="2">
        <f t="shared" si="18"/>
        <v>189</v>
      </c>
      <c r="B209" s="10"/>
      <c r="C209" s="30" t="s">
        <v>1374</v>
      </c>
      <c r="D209" s="56">
        <v>141</v>
      </c>
      <c r="E209" s="28">
        <f t="shared" si="23"/>
        <v>133</v>
      </c>
      <c r="F209" s="28">
        <f t="shared" si="24"/>
        <v>141</v>
      </c>
      <c r="G209" s="35">
        <v>9</v>
      </c>
      <c r="H209" s="35" t="s">
        <v>15</v>
      </c>
      <c r="I209" s="35">
        <v>4</v>
      </c>
      <c r="J209" s="3"/>
      <c r="K209" s="3" t="s">
        <v>392</v>
      </c>
    </row>
    <row r="210" spans="1:11" ht="25.5" x14ac:dyDescent="0.2">
      <c r="A210" s="2">
        <f t="shared" si="18"/>
        <v>190</v>
      </c>
      <c r="B210" s="10"/>
      <c r="C210" s="30" t="s">
        <v>393</v>
      </c>
      <c r="D210" s="56">
        <v>142</v>
      </c>
      <c r="E210" s="28">
        <f t="shared" si="23"/>
        <v>142</v>
      </c>
      <c r="F210" s="28">
        <f t="shared" si="24"/>
        <v>145</v>
      </c>
      <c r="G210" s="35">
        <v>4</v>
      </c>
      <c r="H210" s="35" t="s">
        <v>15</v>
      </c>
      <c r="I210" s="35"/>
      <c r="J210" s="3"/>
      <c r="K210" s="3" t="s">
        <v>394</v>
      </c>
    </row>
    <row r="211" spans="1:11" ht="25.5" x14ac:dyDescent="0.2">
      <c r="A211" s="2">
        <f t="shared" si="18"/>
        <v>191</v>
      </c>
      <c r="B211" s="10"/>
      <c r="C211" s="30" t="s">
        <v>395</v>
      </c>
      <c r="D211" s="56">
        <v>143</v>
      </c>
      <c r="E211" s="28">
        <f t="shared" si="23"/>
        <v>146</v>
      </c>
      <c r="F211" s="28">
        <f t="shared" si="24"/>
        <v>154</v>
      </c>
      <c r="G211" s="35">
        <v>9</v>
      </c>
      <c r="H211" s="35" t="s">
        <v>15</v>
      </c>
      <c r="I211" s="35"/>
      <c r="J211" s="3"/>
      <c r="K211" s="108" t="s">
        <v>396</v>
      </c>
    </row>
    <row r="212" spans="1:11" ht="15" x14ac:dyDescent="0.2">
      <c r="A212" s="2">
        <f t="shared" ref="A212:A240" si="25">A211+1</f>
        <v>192</v>
      </c>
      <c r="B212" s="10"/>
      <c r="C212" s="30" t="s">
        <v>397</v>
      </c>
      <c r="D212" s="56">
        <v>144</v>
      </c>
      <c r="E212" s="28">
        <f t="shared" si="23"/>
        <v>155</v>
      </c>
      <c r="F212" s="28">
        <f t="shared" si="24"/>
        <v>158</v>
      </c>
      <c r="G212" s="35">
        <v>4</v>
      </c>
      <c r="H212" s="35" t="s">
        <v>18</v>
      </c>
      <c r="I212" s="35"/>
      <c r="J212" s="3"/>
      <c r="K212" s="3"/>
    </row>
    <row r="213" spans="1:11" ht="15" x14ac:dyDescent="0.2">
      <c r="A213" s="2">
        <f t="shared" si="25"/>
        <v>193</v>
      </c>
      <c r="B213" s="10"/>
      <c r="C213" s="30" t="s">
        <v>398</v>
      </c>
      <c r="D213" s="56">
        <v>145</v>
      </c>
      <c r="E213" s="28">
        <f t="shared" si="23"/>
        <v>159</v>
      </c>
      <c r="F213" s="28">
        <f t="shared" si="24"/>
        <v>162</v>
      </c>
      <c r="G213" s="35">
        <v>4</v>
      </c>
      <c r="H213" s="35" t="s">
        <v>18</v>
      </c>
      <c r="I213" s="35"/>
      <c r="J213" s="3"/>
      <c r="K213" s="3"/>
    </row>
    <row r="214" spans="1:11" ht="15" x14ac:dyDescent="0.2">
      <c r="A214" s="2">
        <f t="shared" si="25"/>
        <v>194</v>
      </c>
      <c r="B214" s="10"/>
      <c r="C214" s="30" t="s">
        <v>399</v>
      </c>
      <c r="D214" s="56">
        <v>146</v>
      </c>
      <c r="E214" s="28">
        <f t="shared" si="23"/>
        <v>163</v>
      </c>
      <c r="F214" s="28">
        <f t="shared" si="24"/>
        <v>163</v>
      </c>
      <c r="G214" s="35">
        <v>1</v>
      </c>
      <c r="H214" s="35" t="s">
        <v>15</v>
      </c>
      <c r="I214" s="35"/>
      <c r="J214" s="3"/>
      <c r="K214" s="3"/>
    </row>
    <row r="215" spans="1:11" ht="15" x14ac:dyDescent="0.2">
      <c r="A215" s="2">
        <f t="shared" si="25"/>
        <v>195</v>
      </c>
      <c r="B215" s="10"/>
      <c r="C215" s="30" t="s">
        <v>400</v>
      </c>
      <c r="D215" s="56">
        <v>147</v>
      </c>
      <c r="E215" s="28">
        <f t="shared" si="23"/>
        <v>164</v>
      </c>
      <c r="F215" s="28">
        <f t="shared" si="24"/>
        <v>165</v>
      </c>
      <c r="G215" s="35">
        <v>2</v>
      </c>
      <c r="H215" s="35" t="s">
        <v>18</v>
      </c>
      <c r="I215" s="35"/>
      <c r="J215" s="3"/>
      <c r="K215" s="3" t="s">
        <v>401</v>
      </c>
    </row>
    <row r="216" spans="1:11" ht="15" x14ac:dyDescent="0.2">
      <c r="A216" s="2">
        <f t="shared" si="25"/>
        <v>196</v>
      </c>
      <c r="B216" s="10"/>
      <c r="C216" s="30" t="s">
        <v>402</v>
      </c>
      <c r="D216" s="56">
        <v>148</v>
      </c>
      <c r="E216" s="28">
        <f t="shared" si="23"/>
        <v>166</v>
      </c>
      <c r="F216" s="28">
        <f t="shared" si="24"/>
        <v>166</v>
      </c>
      <c r="G216" s="35">
        <v>1</v>
      </c>
      <c r="H216" s="35" t="s">
        <v>18</v>
      </c>
      <c r="I216" s="35"/>
      <c r="J216" s="3"/>
      <c r="K216" s="3" t="s">
        <v>401</v>
      </c>
    </row>
    <row r="217" spans="1:11" ht="51" x14ac:dyDescent="0.2">
      <c r="A217" s="2">
        <f t="shared" si="25"/>
        <v>197</v>
      </c>
      <c r="B217" s="10"/>
      <c r="C217" s="30" t="s">
        <v>403</v>
      </c>
      <c r="D217" s="56">
        <v>149</v>
      </c>
      <c r="E217" s="28">
        <f t="shared" si="23"/>
        <v>167</v>
      </c>
      <c r="F217" s="28">
        <f t="shared" si="24"/>
        <v>167</v>
      </c>
      <c r="G217" s="35">
        <v>1</v>
      </c>
      <c r="H217" s="35" t="s">
        <v>15</v>
      </c>
      <c r="I217" s="35"/>
      <c r="J217" s="3"/>
      <c r="K217" s="3" t="s">
        <v>404</v>
      </c>
    </row>
    <row r="218" spans="1:11" ht="38.25" x14ac:dyDescent="0.2">
      <c r="A218" s="2">
        <f t="shared" si="25"/>
        <v>198</v>
      </c>
      <c r="B218" s="10"/>
      <c r="C218" s="30" t="s">
        <v>405</v>
      </c>
      <c r="D218" s="56">
        <v>150</v>
      </c>
      <c r="E218" s="28">
        <f t="shared" si="23"/>
        <v>168</v>
      </c>
      <c r="F218" s="28">
        <f t="shared" si="24"/>
        <v>168</v>
      </c>
      <c r="G218" s="35">
        <v>1</v>
      </c>
      <c r="H218" s="35" t="s">
        <v>18</v>
      </c>
      <c r="I218" s="35"/>
      <c r="J218" s="3"/>
      <c r="K218" s="3" t="s">
        <v>406</v>
      </c>
    </row>
    <row r="219" spans="1:11" ht="15" x14ac:dyDescent="0.2">
      <c r="A219" s="2">
        <f t="shared" si="25"/>
        <v>199</v>
      </c>
      <c r="B219" s="10"/>
      <c r="C219" s="30" t="s">
        <v>407</v>
      </c>
      <c r="D219" s="56">
        <v>151</v>
      </c>
      <c r="E219" s="28">
        <f t="shared" si="23"/>
        <v>169</v>
      </c>
      <c r="F219" s="28">
        <f t="shared" si="24"/>
        <v>174</v>
      </c>
      <c r="G219" s="35">
        <v>6</v>
      </c>
      <c r="H219" s="35" t="s">
        <v>18</v>
      </c>
      <c r="I219" s="35"/>
      <c r="J219" s="3"/>
      <c r="K219" s="3" t="s">
        <v>401</v>
      </c>
    </row>
    <row r="220" spans="1:11" ht="216.75" x14ac:dyDescent="0.2">
      <c r="A220" s="2">
        <f t="shared" si="25"/>
        <v>200</v>
      </c>
      <c r="B220" s="10"/>
      <c r="C220" s="10" t="s">
        <v>408</v>
      </c>
      <c r="D220" s="29" t="s">
        <v>409</v>
      </c>
      <c r="E220" s="28">
        <f t="shared" si="23"/>
        <v>175</v>
      </c>
      <c r="F220" s="28">
        <f t="shared" si="24"/>
        <v>176</v>
      </c>
      <c r="G220" s="28">
        <v>2</v>
      </c>
      <c r="H220" s="28" t="s">
        <v>15</v>
      </c>
      <c r="I220" s="28"/>
      <c r="J220" s="3"/>
      <c r="K220" s="3" t="s">
        <v>410</v>
      </c>
    </row>
    <row r="221" spans="1:11" ht="25.5" x14ac:dyDescent="0.2">
      <c r="A221" s="2">
        <f t="shared" si="25"/>
        <v>201</v>
      </c>
      <c r="B221" s="10"/>
      <c r="C221" s="10" t="s">
        <v>411</v>
      </c>
      <c r="D221" s="29" t="s">
        <v>412</v>
      </c>
      <c r="E221" s="28">
        <f t="shared" si="23"/>
        <v>177</v>
      </c>
      <c r="F221" s="28">
        <f t="shared" si="24"/>
        <v>179</v>
      </c>
      <c r="G221" s="28">
        <v>3</v>
      </c>
      <c r="H221" s="28" t="s">
        <v>15</v>
      </c>
      <c r="I221" s="28"/>
      <c r="J221" s="3"/>
      <c r="K221" s="3" t="s">
        <v>413</v>
      </c>
    </row>
    <row r="222" spans="1:11" ht="89.25" x14ac:dyDescent="0.2">
      <c r="A222" s="2">
        <f t="shared" si="25"/>
        <v>202</v>
      </c>
      <c r="B222" s="10"/>
      <c r="C222" s="10" t="s">
        <v>414</v>
      </c>
      <c r="D222" s="29" t="s">
        <v>415</v>
      </c>
      <c r="E222" s="28">
        <f t="shared" si="23"/>
        <v>180</v>
      </c>
      <c r="F222" s="28">
        <f t="shared" si="24"/>
        <v>180</v>
      </c>
      <c r="G222" s="28">
        <v>1</v>
      </c>
      <c r="H222" s="28" t="s">
        <v>15</v>
      </c>
      <c r="I222" s="28"/>
      <c r="J222" s="3"/>
      <c r="K222" s="3" t="s">
        <v>416</v>
      </c>
    </row>
    <row r="223" spans="1:11" x14ac:dyDescent="0.2">
      <c r="A223" s="2">
        <f t="shared" si="25"/>
        <v>203</v>
      </c>
      <c r="B223" s="10"/>
      <c r="C223" s="10" t="s">
        <v>28</v>
      </c>
      <c r="D223" s="29" t="s">
        <v>14</v>
      </c>
      <c r="E223" s="28">
        <f t="shared" si="23"/>
        <v>181</v>
      </c>
      <c r="F223" s="28">
        <v>600</v>
      </c>
      <c r="G223" s="28">
        <f>F223-F222</f>
        <v>420</v>
      </c>
      <c r="H223" s="28" t="s">
        <v>15</v>
      </c>
      <c r="I223" s="28"/>
      <c r="J223" s="3"/>
      <c r="K223" s="3" t="s">
        <v>29</v>
      </c>
    </row>
    <row r="224" spans="1:11" x14ac:dyDescent="0.2">
      <c r="A224" s="2">
        <f t="shared" si="25"/>
        <v>204</v>
      </c>
      <c r="B224" s="159" t="s">
        <v>419</v>
      </c>
      <c r="C224" s="158"/>
      <c r="D224" s="29" t="s">
        <v>14</v>
      </c>
      <c r="E224" s="28">
        <f>$F$16+1</f>
        <v>7</v>
      </c>
      <c r="F224" s="28">
        <f>G224+$F$16</f>
        <v>9</v>
      </c>
      <c r="G224" s="28">
        <v>3</v>
      </c>
      <c r="H224" s="28" t="s">
        <v>18</v>
      </c>
      <c r="I224" s="28"/>
      <c r="J224" s="3"/>
      <c r="K224" s="197" t="s">
        <v>420</v>
      </c>
    </row>
    <row r="225" spans="1:11" ht="15" x14ac:dyDescent="0.2">
      <c r="A225" s="2">
        <f t="shared" si="25"/>
        <v>205</v>
      </c>
      <c r="B225" s="10"/>
      <c r="C225" s="165" t="s">
        <v>267</v>
      </c>
      <c r="D225" s="55">
        <v>99</v>
      </c>
      <c r="E225" s="28">
        <f t="shared" ref="E225:E231" si="26">F224+1</f>
        <v>10</v>
      </c>
      <c r="F225" s="28">
        <f t="shared" ref="F225:F230" si="27">F224+G225</f>
        <v>12</v>
      </c>
      <c r="G225" s="18">
        <v>3</v>
      </c>
      <c r="H225" s="18" t="s">
        <v>18</v>
      </c>
      <c r="I225" s="28"/>
      <c r="J225" s="3"/>
      <c r="K225" s="3" t="s">
        <v>268</v>
      </c>
    </row>
    <row r="226" spans="1:11" ht="15" x14ac:dyDescent="0.2">
      <c r="A226" s="2">
        <f t="shared" si="25"/>
        <v>206</v>
      </c>
      <c r="B226" s="10"/>
      <c r="C226" s="30" t="s">
        <v>421</v>
      </c>
      <c r="D226" s="56">
        <v>153</v>
      </c>
      <c r="E226" s="28">
        <f t="shared" si="26"/>
        <v>13</v>
      </c>
      <c r="F226" s="28">
        <f t="shared" si="27"/>
        <v>32</v>
      </c>
      <c r="G226" s="35">
        <v>20</v>
      </c>
      <c r="H226" s="35" t="s">
        <v>15</v>
      </c>
      <c r="I226" s="35"/>
      <c r="J226" s="3"/>
      <c r="K226" s="3"/>
    </row>
    <row r="227" spans="1:11" ht="15" x14ac:dyDescent="0.2">
      <c r="A227" s="2">
        <f t="shared" si="25"/>
        <v>207</v>
      </c>
      <c r="B227" s="10"/>
      <c r="C227" s="30" t="s">
        <v>423</v>
      </c>
      <c r="D227" s="56">
        <v>154</v>
      </c>
      <c r="E227" s="28">
        <f t="shared" si="26"/>
        <v>33</v>
      </c>
      <c r="F227" s="28">
        <f t="shared" si="27"/>
        <v>43</v>
      </c>
      <c r="G227" s="35">
        <v>11</v>
      </c>
      <c r="H227" s="35" t="s">
        <v>18</v>
      </c>
      <c r="I227" s="35">
        <v>3</v>
      </c>
      <c r="J227" s="3"/>
      <c r="K227" s="3"/>
    </row>
    <row r="228" spans="1:11" ht="15" x14ac:dyDescent="0.2">
      <c r="A228" s="2">
        <f t="shared" si="25"/>
        <v>208</v>
      </c>
      <c r="B228" s="10"/>
      <c r="C228" s="30" t="s">
        <v>424</v>
      </c>
      <c r="D228" s="56">
        <v>155</v>
      </c>
      <c r="E228" s="28">
        <f t="shared" si="26"/>
        <v>44</v>
      </c>
      <c r="F228" s="28">
        <f t="shared" si="27"/>
        <v>53</v>
      </c>
      <c r="G228" s="35">
        <v>10</v>
      </c>
      <c r="H228" s="35" t="s">
        <v>106</v>
      </c>
      <c r="I228" s="35"/>
      <c r="J228" s="3" t="s">
        <v>107</v>
      </c>
      <c r="K228" s="3"/>
    </row>
    <row r="229" spans="1:11" ht="15" x14ac:dyDescent="0.2">
      <c r="A229" s="2">
        <f t="shared" si="25"/>
        <v>209</v>
      </c>
      <c r="B229" s="10"/>
      <c r="C229" s="30" t="s">
        <v>425</v>
      </c>
      <c r="D229" s="56">
        <v>156</v>
      </c>
      <c r="E229" s="28">
        <f t="shared" si="26"/>
        <v>54</v>
      </c>
      <c r="F229" s="28">
        <f t="shared" si="27"/>
        <v>63</v>
      </c>
      <c r="G229" s="35">
        <v>10</v>
      </c>
      <c r="H229" s="35" t="s">
        <v>106</v>
      </c>
      <c r="I229" s="35"/>
      <c r="J229" s="3" t="s">
        <v>107</v>
      </c>
      <c r="K229" s="3"/>
    </row>
    <row r="230" spans="1:11" ht="15" x14ac:dyDescent="0.2">
      <c r="A230" s="2">
        <f t="shared" si="25"/>
        <v>210</v>
      </c>
      <c r="B230" s="10"/>
      <c r="C230" s="30" t="s">
        <v>426</v>
      </c>
      <c r="D230" s="56">
        <v>157</v>
      </c>
      <c r="E230" s="28">
        <f t="shared" si="26"/>
        <v>64</v>
      </c>
      <c r="F230" s="28">
        <f t="shared" si="27"/>
        <v>78</v>
      </c>
      <c r="G230" s="35">
        <v>15</v>
      </c>
      <c r="H230" s="35" t="s">
        <v>18</v>
      </c>
      <c r="I230" s="35">
        <v>2</v>
      </c>
      <c r="J230" s="3"/>
      <c r="K230" s="3"/>
    </row>
    <row r="231" spans="1:11" x14ac:dyDescent="0.2">
      <c r="A231" s="2">
        <f t="shared" si="25"/>
        <v>211</v>
      </c>
      <c r="B231" s="10"/>
      <c r="C231" s="10" t="s">
        <v>28</v>
      </c>
      <c r="D231" s="29" t="s">
        <v>14</v>
      </c>
      <c r="E231" s="28">
        <f t="shared" si="26"/>
        <v>79</v>
      </c>
      <c r="F231" s="28">
        <v>600</v>
      </c>
      <c r="G231" s="28">
        <f>F231-F230</f>
        <v>522</v>
      </c>
      <c r="H231" s="28" t="s">
        <v>15</v>
      </c>
      <c r="I231" s="28"/>
      <c r="J231" s="3"/>
      <c r="K231" s="3" t="s">
        <v>29</v>
      </c>
    </row>
    <row r="232" spans="1:11" x14ac:dyDescent="0.2">
      <c r="A232" s="2">
        <f t="shared" si="25"/>
        <v>212</v>
      </c>
      <c r="B232" s="159" t="s">
        <v>430</v>
      </c>
      <c r="C232" s="158"/>
      <c r="D232" s="29" t="s">
        <v>14</v>
      </c>
      <c r="E232" s="28">
        <f>$F$16+1</f>
        <v>7</v>
      </c>
      <c r="F232" s="28">
        <f>G232+$F$16</f>
        <v>9</v>
      </c>
      <c r="G232" s="28">
        <v>3</v>
      </c>
      <c r="H232" s="28" t="s">
        <v>18</v>
      </c>
      <c r="I232" s="28"/>
      <c r="J232" s="3"/>
      <c r="K232" s="197" t="s">
        <v>431</v>
      </c>
    </row>
    <row r="233" spans="1:11" ht="15" x14ac:dyDescent="0.2">
      <c r="A233" s="2">
        <f t="shared" si="25"/>
        <v>213</v>
      </c>
      <c r="B233" s="10"/>
      <c r="C233" s="165" t="s">
        <v>267</v>
      </c>
      <c r="D233" s="55">
        <v>99</v>
      </c>
      <c r="E233" s="28">
        <f t="shared" ref="E233:E240" si="28">F232+1</f>
        <v>10</v>
      </c>
      <c r="F233" s="28">
        <f t="shared" ref="F233:F240" si="29">F232+G233</f>
        <v>12</v>
      </c>
      <c r="G233" s="18">
        <v>3</v>
      </c>
      <c r="H233" s="18" t="s">
        <v>18</v>
      </c>
      <c r="I233" s="28"/>
      <c r="J233" s="3"/>
      <c r="K233" s="3" t="s">
        <v>268</v>
      </c>
    </row>
    <row r="234" spans="1:11" s="51" customFormat="1" ht="51" x14ac:dyDescent="0.2">
      <c r="A234" s="2">
        <f t="shared" si="25"/>
        <v>214</v>
      </c>
      <c r="B234" s="10"/>
      <c r="C234" s="30" t="s">
        <v>432</v>
      </c>
      <c r="D234" s="56" t="s">
        <v>433</v>
      </c>
      <c r="E234" s="28">
        <f t="shared" si="28"/>
        <v>13</v>
      </c>
      <c r="F234" s="28">
        <f t="shared" si="29"/>
        <v>21</v>
      </c>
      <c r="G234" s="35">
        <v>9</v>
      </c>
      <c r="H234" s="35" t="s">
        <v>18</v>
      </c>
      <c r="I234" s="35"/>
      <c r="J234" s="3"/>
      <c r="K234" s="3" t="s">
        <v>434</v>
      </c>
    </row>
    <row r="235" spans="1:11" ht="38.25" x14ac:dyDescent="0.2">
      <c r="A235" s="2">
        <f t="shared" si="25"/>
        <v>215</v>
      </c>
      <c r="B235" s="10"/>
      <c r="C235" s="30" t="s">
        <v>435</v>
      </c>
      <c r="D235" s="56" t="s">
        <v>436</v>
      </c>
      <c r="E235" s="28">
        <f t="shared" si="28"/>
        <v>22</v>
      </c>
      <c r="F235" s="28">
        <f t="shared" si="29"/>
        <v>42</v>
      </c>
      <c r="G235" s="35">
        <v>21</v>
      </c>
      <c r="H235" s="35" t="s">
        <v>18</v>
      </c>
      <c r="I235" s="35"/>
      <c r="J235" s="3"/>
      <c r="K235" s="3" t="s">
        <v>437</v>
      </c>
    </row>
    <row r="236" spans="1:11" ht="25.5" x14ac:dyDescent="0.2">
      <c r="A236" s="2">
        <f t="shared" si="25"/>
        <v>216</v>
      </c>
      <c r="B236" s="10"/>
      <c r="C236" s="30" t="s">
        <v>438</v>
      </c>
      <c r="D236" s="56" t="s">
        <v>439</v>
      </c>
      <c r="E236" s="28">
        <f t="shared" si="28"/>
        <v>43</v>
      </c>
      <c r="F236" s="28">
        <f t="shared" si="29"/>
        <v>58</v>
      </c>
      <c r="G236" s="35">
        <v>16</v>
      </c>
      <c r="H236" s="35" t="s">
        <v>18</v>
      </c>
      <c r="I236" s="35">
        <v>4</v>
      </c>
      <c r="J236" s="3"/>
      <c r="K236" s="3" t="s">
        <v>440</v>
      </c>
    </row>
    <row r="237" spans="1:11" ht="25.5" x14ac:dyDescent="0.2">
      <c r="A237" s="2">
        <f t="shared" si="25"/>
        <v>217</v>
      </c>
      <c r="B237" s="10"/>
      <c r="C237" s="30" t="s">
        <v>441</v>
      </c>
      <c r="D237" s="56" t="s">
        <v>442</v>
      </c>
      <c r="E237" s="28">
        <f t="shared" si="28"/>
        <v>59</v>
      </c>
      <c r="F237" s="28">
        <f t="shared" si="29"/>
        <v>60</v>
      </c>
      <c r="G237" s="35">
        <v>2</v>
      </c>
      <c r="H237" s="35" t="s">
        <v>15</v>
      </c>
      <c r="I237" s="35"/>
      <c r="J237" s="3"/>
      <c r="K237" s="3" t="s">
        <v>440</v>
      </c>
    </row>
    <row r="238" spans="1:11" ht="15" x14ac:dyDescent="0.2">
      <c r="A238" s="2">
        <f t="shared" si="25"/>
        <v>218</v>
      </c>
      <c r="B238" s="10"/>
      <c r="C238" s="30" t="s">
        <v>1375</v>
      </c>
      <c r="D238" s="56" t="s">
        <v>444</v>
      </c>
      <c r="E238" s="28">
        <f t="shared" si="28"/>
        <v>61</v>
      </c>
      <c r="F238" s="28">
        <f t="shared" si="29"/>
        <v>76</v>
      </c>
      <c r="G238" s="35">
        <v>16</v>
      </c>
      <c r="H238" s="35" t="s">
        <v>18</v>
      </c>
      <c r="I238" s="35">
        <v>4</v>
      </c>
      <c r="J238" s="3"/>
      <c r="K238" s="3"/>
    </row>
    <row r="239" spans="1:11" ht="15" x14ac:dyDescent="0.2">
      <c r="A239" s="2">
        <f t="shared" si="25"/>
        <v>219</v>
      </c>
      <c r="B239" s="10"/>
      <c r="C239" s="30" t="s">
        <v>446</v>
      </c>
      <c r="D239" s="56" t="s">
        <v>447</v>
      </c>
      <c r="E239" s="28">
        <f t="shared" si="28"/>
        <v>77</v>
      </c>
      <c r="F239" s="28">
        <f t="shared" si="29"/>
        <v>91</v>
      </c>
      <c r="G239" s="35">
        <v>15</v>
      </c>
      <c r="H239" s="35" t="s">
        <v>18</v>
      </c>
      <c r="I239" s="35">
        <v>4</v>
      </c>
      <c r="J239" s="3"/>
      <c r="K239" s="3"/>
    </row>
    <row r="240" spans="1:11" ht="15" x14ac:dyDescent="0.2">
      <c r="A240" s="2">
        <f t="shared" si="25"/>
        <v>220</v>
      </c>
      <c r="B240" s="10"/>
      <c r="C240" s="30" t="s">
        <v>1376</v>
      </c>
      <c r="D240" s="56" t="s">
        <v>450</v>
      </c>
      <c r="E240" s="28">
        <f t="shared" si="28"/>
        <v>92</v>
      </c>
      <c r="F240" s="28">
        <f t="shared" si="29"/>
        <v>106</v>
      </c>
      <c r="G240" s="35">
        <v>15</v>
      </c>
      <c r="H240" s="35" t="s">
        <v>18</v>
      </c>
      <c r="I240" s="35">
        <v>2</v>
      </c>
      <c r="J240" s="3"/>
      <c r="K240" s="3"/>
    </row>
    <row r="241" spans="1:11" ht="15" x14ac:dyDescent="0.2">
      <c r="A241" s="138">
        <v>221</v>
      </c>
      <c r="B241" s="139"/>
      <c r="C241" s="142" t="s">
        <v>452</v>
      </c>
      <c r="D241" s="181" t="s">
        <v>453</v>
      </c>
      <c r="E241" s="69">
        <v>107</v>
      </c>
      <c r="F241" s="69">
        <v>112</v>
      </c>
      <c r="G241" s="184">
        <v>6</v>
      </c>
      <c r="H241" s="184" t="s">
        <v>18</v>
      </c>
      <c r="I241" s="178" t="s">
        <v>454</v>
      </c>
      <c r="J241" s="140"/>
      <c r="K241" s="140"/>
    </row>
    <row r="242" spans="1:11" ht="17.25" customHeight="1" x14ac:dyDescent="0.2">
      <c r="A242" s="2">
        <v>222</v>
      </c>
      <c r="B242" s="10"/>
      <c r="C242" s="10" t="s">
        <v>28</v>
      </c>
      <c r="D242" s="29" t="s">
        <v>14</v>
      </c>
      <c r="E242" s="28">
        <f>F240+1</f>
        <v>107</v>
      </c>
      <c r="F242" s="28">
        <v>600</v>
      </c>
      <c r="G242" s="35">
        <f>F242-G240</f>
        <v>585</v>
      </c>
      <c r="H242" s="28" t="s">
        <v>15</v>
      </c>
      <c r="I242" s="28"/>
      <c r="J242" s="3"/>
      <c r="K242" s="3" t="s">
        <v>29</v>
      </c>
    </row>
    <row r="243" spans="1:11" ht="17.25" customHeight="1" x14ac:dyDescent="0.2">
      <c r="A243" s="2">
        <v>223</v>
      </c>
      <c r="B243" s="10"/>
      <c r="C243" s="52"/>
      <c r="D243" s="29"/>
      <c r="E243" s="28"/>
      <c r="F243" s="28"/>
      <c r="G243" s="28"/>
      <c r="H243" s="28"/>
      <c r="I243" s="28"/>
      <c r="J243" s="3"/>
      <c r="K243" s="3"/>
    </row>
    <row r="244" spans="1:11" ht="59.25" customHeight="1" x14ac:dyDescent="0.2">
      <c r="A244" s="2">
        <v>224</v>
      </c>
      <c r="B244" s="199"/>
      <c r="C244" s="200" t="s">
        <v>473</v>
      </c>
      <c r="D244" s="29"/>
      <c r="E244" s="28"/>
      <c r="F244" s="28"/>
      <c r="G244" s="28"/>
      <c r="H244" s="28"/>
      <c r="I244" s="28"/>
      <c r="J244" s="3"/>
      <c r="K244" s="3"/>
    </row>
    <row r="245" spans="1:11" ht="17.25" customHeight="1" x14ac:dyDescent="0.2">
      <c r="A245" s="2">
        <v>225</v>
      </c>
      <c r="B245" s="10"/>
      <c r="C245" s="52"/>
      <c r="D245" s="29"/>
      <c r="E245" s="28"/>
      <c r="F245" s="28"/>
      <c r="G245" s="28"/>
      <c r="H245" s="28"/>
      <c r="I245" s="28"/>
      <c r="J245" s="3"/>
      <c r="K245" s="3"/>
    </row>
    <row r="246" spans="1:11" ht="18.75" customHeight="1" x14ac:dyDescent="0.2">
      <c r="A246" s="2">
        <v>226</v>
      </c>
      <c r="B246" s="193" t="s">
        <v>474</v>
      </c>
      <c r="C246" s="201"/>
      <c r="D246" s="29" t="s">
        <v>14</v>
      </c>
      <c r="E246" s="28">
        <f>$F$16+1</f>
        <v>7</v>
      </c>
      <c r="F246" s="28">
        <f>G246+$F$16</f>
        <v>9</v>
      </c>
      <c r="G246" s="28">
        <v>3</v>
      </c>
      <c r="H246" s="28" t="s">
        <v>18</v>
      </c>
      <c r="I246" s="28"/>
      <c r="J246" s="3"/>
      <c r="K246" s="198" t="s">
        <v>475</v>
      </c>
    </row>
    <row r="247" spans="1:11" ht="15" x14ac:dyDescent="0.2">
      <c r="A247" s="2">
        <f t="shared" ref="A247:A282" si="30">A246+1</f>
        <v>227</v>
      </c>
      <c r="B247" s="23"/>
      <c r="C247" s="202" t="s">
        <v>267</v>
      </c>
      <c r="D247" s="55">
        <v>99</v>
      </c>
      <c r="E247" s="28">
        <f t="shared" ref="E247:E263" si="31">F246+1</f>
        <v>10</v>
      </c>
      <c r="F247" s="28">
        <f t="shared" ref="F247:F263" si="32">F246+G247</f>
        <v>12</v>
      </c>
      <c r="G247" s="18">
        <v>3</v>
      </c>
      <c r="H247" s="18" t="s">
        <v>18</v>
      </c>
      <c r="I247" s="28"/>
      <c r="J247" s="3"/>
      <c r="K247" s="3" t="s">
        <v>268</v>
      </c>
    </row>
    <row r="248" spans="1:11" ht="114.75" x14ac:dyDescent="0.2">
      <c r="A248" s="2">
        <f t="shared" si="30"/>
        <v>228</v>
      </c>
      <c r="B248" s="10"/>
      <c r="C248" s="10" t="s">
        <v>476</v>
      </c>
      <c r="D248" s="106" t="s">
        <v>477</v>
      </c>
      <c r="E248" s="28">
        <f t="shared" si="31"/>
        <v>13</v>
      </c>
      <c r="F248" s="28">
        <f t="shared" si="32"/>
        <v>13</v>
      </c>
      <c r="G248" s="18">
        <v>1</v>
      </c>
      <c r="H248" s="18" t="s">
        <v>18</v>
      </c>
      <c r="I248" s="18"/>
      <c r="J248" s="3"/>
      <c r="K248" s="3" t="s">
        <v>478</v>
      </c>
    </row>
    <row r="249" spans="1:11" ht="76.5" x14ac:dyDescent="0.2">
      <c r="A249" s="2">
        <f t="shared" si="30"/>
        <v>229</v>
      </c>
      <c r="B249" s="10"/>
      <c r="C249" s="10" t="s">
        <v>479</v>
      </c>
      <c r="D249" s="106" t="s">
        <v>480</v>
      </c>
      <c r="E249" s="28">
        <f t="shared" si="31"/>
        <v>14</v>
      </c>
      <c r="F249" s="28">
        <f t="shared" si="32"/>
        <v>14</v>
      </c>
      <c r="G249" s="18">
        <v>1</v>
      </c>
      <c r="H249" s="18" t="s">
        <v>18</v>
      </c>
      <c r="I249" s="18"/>
      <c r="J249" s="3"/>
      <c r="K249" s="3" t="s">
        <v>481</v>
      </c>
    </row>
    <row r="250" spans="1:11" ht="76.5" x14ac:dyDescent="0.2">
      <c r="A250" s="2">
        <f t="shared" si="30"/>
        <v>230</v>
      </c>
      <c r="B250" s="10"/>
      <c r="C250" s="10" t="s">
        <v>482</v>
      </c>
      <c r="D250" s="106" t="s">
        <v>483</v>
      </c>
      <c r="E250" s="28">
        <f t="shared" si="31"/>
        <v>15</v>
      </c>
      <c r="F250" s="28">
        <f t="shared" si="32"/>
        <v>15</v>
      </c>
      <c r="G250" s="18">
        <v>1</v>
      </c>
      <c r="H250" s="18" t="s">
        <v>18</v>
      </c>
      <c r="I250" s="18">
        <v>0</v>
      </c>
      <c r="J250" s="3"/>
      <c r="K250" s="3" t="s">
        <v>734</v>
      </c>
    </row>
    <row r="251" spans="1:11" ht="178.5" x14ac:dyDescent="0.2">
      <c r="A251" s="2">
        <f t="shared" si="30"/>
        <v>231</v>
      </c>
      <c r="B251" s="10"/>
      <c r="C251" s="10" t="s">
        <v>485</v>
      </c>
      <c r="D251" s="106" t="s">
        <v>486</v>
      </c>
      <c r="E251" s="28">
        <f t="shared" si="31"/>
        <v>16</v>
      </c>
      <c r="F251" s="28">
        <f t="shared" si="32"/>
        <v>17</v>
      </c>
      <c r="G251" s="18">
        <v>2</v>
      </c>
      <c r="H251" s="18" t="s">
        <v>18</v>
      </c>
      <c r="I251" s="18"/>
      <c r="J251" s="3"/>
      <c r="K251" s="3" t="s">
        <v>487</v>
      </c>
    </row>
    <row r="252" spans="1:11" ht="76.5" x14ac:dyDescent="0.2">
      <c r="A252" s="2">
        <f t="shared" si="30"/>
        <v>232</v>
      </c>
      <c r="B252" s="23"/>
      <c r="C252" s="36" t="s">
        <v>488</v>
      </c>
      <c r="D252" s="106" t="s">
        <v>489</v>
      </c>
      <c r="E252" s="28">
        <f t="shared" si="31"/>
        <v>18</v>
      </c>
      <c r="F252" s="28">
        <f t="shared" si="32"/>
        <v>22</v>
      </c>
      <c r="G252" s="18">
        <v>5</v>
      </c>
      <c r="H252" s="18" t="s">
        <v>18</v>
      </c>
      <c r="I252" s="18">
        <v>2</v>
      </c>
      <c r="J252" s="3"/>
      <c r="K252" s="3"/>
    </row>
    <row r="253" spans="1:11" ht="51" x14ac:dyDescent="0.2">
      <c r="A253" s="2">
        <f t="shared" si="30"/>
        <v>233</v>
      </c>
      <c r="B253" s="10"/>
      <c r="C253" s="3" t="s">
        <v>492</v>
      </c>
      <c r="D253" s="106" t="s">
        <v>493</v>
      </c>
      <c r="E253" s="28">
        <f t="shared" si="31"/>
        <v>23</v>
      </c>
      <c r="F253" s="28">
        <f t="shared" si="32"/>
        <v>27</v>
      </c>
      <c r="G253" s="18">
        <v>5</v>
      </c>
      <c r="H253" s="18" t="s">
        <v>18</v>
      </c>
      <c r="I253" s="18">
        <v>2</v>
      </c>
      <c r="J253" s="3"/>
      <c r="K253" s="3"/>
    </row>
    <row r="254" spans="1:11" ht="51" x14ac:dyDescent="0.2">
      <c r="A254" s="2">
        <f t="shared" si="30"/>
        <v>234</v>
      </c>
      <c r="B254" s="10"/>
      <c r="C254" s="3" t="s">
        <v>495</v>
      </c>
      <c r="D254" s="106" t="s">
        <v>496</v>
      </c>
      <c r="E254" s="28">
        <f t="shared" si="31"/>
        <v>28</v>
      </c>
      <c r="F254" s="28">
        <f t="shared" si="32"/>
        <v>32</v>
      </c>
      <c r="G254" s="18">
        <v>5</v>
      </c>
      <c r="H254" s="18" t="s">
        <v>18</v>
      </c>
      <c r="I254" s="18">
        <v>2</v>
      </c>
      <c r="J254" s="3"/>
      <c r="K254" s="3"/>
    </row>
    <row r="255" spans="1:11" ht="81.75" customHeight="1" x14ac:dyDescent="0.2">
      <c r="A255" s="2">
        <f t="shared" si="30"/>
        <v>235</v>
      </c>
      <c r="B255" s="10"/>
      <c r="C255" s="3" t="s">
        <v>497</v>
      </c>
      <c r="D255" s="106" t="s">
        <v>498</v>
      </c>
      <c r="E255" s="28">
        <f t="shared" si="31"/>
        <v>33</v>
      </c>
      <c r="F255" s="28">
        <f t="shared" si="32"/>
        <v>37</v>
      </c>
      <c r="G255" s="18">
        <v>5</v>
      </c>
      <c r="H255" s="18" t="s">
        <v>18</v>
      </c>
      <c r="I255" s="18">
        <v>2</v>
      </c>
      <c r="J255" s="3"/>
      <c r="K255" s="3"/>
    </row>
    <row r="256" spans="1:11" ht="110.25" customHeight="1" x14ac:dyDescent="0.2">
      <c r="A256" s="2">
        <f t="shared" si="30"/>
        <v>236</v>
      </c>
      <c r="B256" s="23"/>
      <c r="C256" s="36" t="s">
        <v>499</v>
      </c>
      <c r="D256" s="106" t="s">
        <v>500</v>
      </c>
      <c r="E256" s="28">
        <f t="shared" si="31"/>
        <v>38</v>
      </c>
      <c r="F256" s="28">
        <f t="shared" si="32"/>
        <v>42</v>
      </c>
      <c r="G256" s="18">
        <v>5</v>
      </c>
      <c r="H256" s="18" t="s">
        <v>18</v>
      </c>
      <c r="I256" s="18">
        <v>2</v>
      </c>
      <c r="J256" s="3"/>
      <c r="K256" s="3"/>
    </row>
    <row r="257" spans="1:11" ht="76.5" x14ac:dyDescent="0.2">
      <c r="A257" s="2">
        <f t="shared" si="30"/>
        <v>237</v>
      </c>
      <c r="B257" s="10"/>
      <c r="C257" s="10" t="s">
        <v>501</v>
      </c>
      <c r="D257" s="106" t="s">
        <v>502</v>
      </c>
      <c r="E257" s="28">
        <f t="shared" si="31"/>
        <v>43</v>
      </c>
      <c r="F257" s="28">
        <f t="shared" si="32"/>
        <v>57</v>
      </c>
      <c r="G257" s="18">
        <v>15</v>
      </c>
      <c r="H257" s="18" t="s">
        <v>18</v>
      </c>
      <c r="I257" s="18">
        <v>2</v>
      </c>
      <c r="J257" s="3"/>
      <c r="K257" s="3" t="s">
        <v>503</v>
      </c>
    </row>
    <row r="258" spans="1:11" ht="51" x14ac:dyDescent="0.2">
      <c r="A258" s="2">
        <f t="shared" si="30"/>
        <v>238</v>
      </c>
      <c r="B258" s="10"/>
      <c r="C258" s="10" t="s">
        <v>504</v>
      </c>
      <c r="D258" s="29" t="s">
        <v>505</v>
      </c>
      <c r="E258" s="28">
        <f t="shared" si="31"/>
        <v>58</v>
      </c>
      <c r="F258" s="28">
        <f t="shared" si="32"/>
        <v>72</v>
      </c>
      <c r="G258" s="18">
        <v>15</v>
      </c>
      <c r="H258" s="18" t="s">
        <v>18</v>
      </c>
      <c r="I258" s="18">
        <v>2</v>
      </c>
      <c r="J258" s="3"/>
      <c r="K258" s="3"/>
    </row>
    <row r="259" spans="1:11" ht="76.5" x14ac:dyDescent="0.2">
      <c r="A259" s="2">
        <f t="shared" si="30"/>
        <v>239</v>
      </c>
      <c r="B259" s="10"/>
      <c r="C259" s="10" t="s">
        <v>506</v>
      </c>
      <c r="D259" s="106" t="s">
        <v>507</v>
      </c>
      <c r="E259" s="28">
        <f t="shared" si="31"/>
        <v>73</v>
      </c>
      <c r="F259" s="28">
        <f t="shared" si="32"/>
        <v>87</v>
      </c>
      <c r="G259" s="18">
        <v>15</v>
      </c>
      <c r="H259" s="18" t="s">
        <v>18</v>
      </c>
      <c r="I259" s="18">
        <v>2</v>
      </c>
      <c r="J259" s="3"/>
      <c r="K259" s="3" t="s">
        <v>503</v>
      </c>
    </row>
    <row r="260" spans="1:11" ht="51" x14ac:dyDescent="0.2">
      <c r="A260" s="2">
        <f t="shared" si="30"/>
        <v>240</v>
      </c>
      <c r="B260" s="10"/>
      <c r="C260" s="10" t="s">
        <v>508</v>
      </c>
      <c r="D260" s="106" t="s">
        <v>509</v>
      </c>
      <c r="E260" s="28">
        <f t="shared" si="31"/>
        <v>88</v>
      </c>
      <c r="F260" s="28">
        <f t="shared" si="32"/>
        <v>102</v>
      </c>
      <c r="G260" s="18">
        <v>15</v>
      </c>
      <c r="H260" s="18" t="s">
        <v>18</v>
      </c>
      <c r="I260" s="18">
        <v>2</v>
      </c>
      <c r="J260" s="3"/>
      <c r="K260" s="3"/>
    </row>
    <row r="261" spans="1:11" ht="191.25" x14ac:dyDescent="0.2">
      <c r="A261" s="138">
        <f>A260+1</f>
        <v>241</v>
      </c>
      <c r="B261" s="139"/>
      <c r="C261" s="139" t="s">
        <v>510</v>
      </c>
      <c r="D261" s="141" t="s">
        <v>511</v>
      </c>
      <c r="E261" s="69">
        <f t="shared" si="31"/>
        <v>103</v>
      </c>
      <c r="F261" s="69">
        <f>F260+G261</f>
        <v>103</v>
      </c>
      <c r="G261" s="69">
        <v>1</v>
      </c>
      <c r="H261" s="69" t="s">
        <v>18</v>
      </c>
      <c r="I261" s="69"/>
      <c r="J261" s="140"/>
      <c r="K261" s="140" t="s">
        <v>1377</v>
      </c>
    </row>
    <row r="262" spans="1:11" ht="25.5" x14ac:dyDescent="0.2">
      <c r="A262" s="2">
        <f t="shared" si="30"/>
        <v>242</v>
      </c>
      <c r="B262" s="10"/>
      <c r="C262" s="3" t="s">
        <v>513</v>
      </c>
      <c r="D262" s="29">
        <v>216</v>
      </c>
      <c r="E262" s="28">
        <f t="shared" si="31"/>
        <v>104</v>
      </c>
      <c r="F262" s="28">
        <f t="shared" si="32"/>
        <v>118</v>
      </c>
      <c r="G262" s="28">
        <v>15</v>
      </c>
      <c r="H262" s="28" t="s">
        <v>18</v>
      </c>
      <c r="I262" s="28">
        <v>2</v>
      </c>
      <c r="J262" s="3"/>
      <c r="K262" s="3" t="s">
        <v>514</v>
      </c>
    </row>
    <row r="263" spans="1:11" ht="25.5" x14ac:dyDescent="0.2">
      <c r="A263" s="2">
        <f t="shared" si="30"/>
        <v>243</v>
      </c>
      <c r="B263" s="10"/>
      <c r="C263" s="3" t="s">
        <v>515</v>
      </c>
      <c r="D263" s="29">
        <v>217</v>
      </c>
      <c r="E263" s="28">
        <f t="shared" si="31"/>
        <v>119</v>
      </c>
      <c r="F263" s="28">
        <f t="shared" si="32"/>
        <v>133</v>
      </c>
      <c r="G263" s="28">
        <v>15</v>
      </c>
      <c r="H263" s="28" t="s">
        <v>18</v>
      </c>
      <c r="I263" s="28">
        <v>2</v>
      </c>
      <c r="J263" s="3"/>
      <c r="K263" s="3" t="s">
        <v>516</v>
      </c>
    </row>
    <row r="264" spans="1:11" ht="63.75" x14ac:dyDescent="0.2">
      <c r="A264" s="138">
        <v>244</v>
      </c>
      <c r="B264" s="139"/>
      <c r="C264" s="140" t="s">
        <v>517</v>
      </c>
      <c r="D264" s="141" t="s">
        <v>1378</v>
      </c>
      <c r="E264" s="69">
        <v>134</v>
      </c>
      <c r="F264" s="69">
        <v>148</v>
      </c>
      <c r="G264" s="69">
        <v>15</v>
      </c>
      <c r="H264" s="69" t="s">
        <v>18</v>
      </c>
      <c r="I264" s="69">
        <v>2</v>
      </c>
      <c r="J264" s="140"/>
      <c r="K264" s="140" t="s">
        <v>519</v>
      </c>
    </row>
    <row r="265" spans="1:11" x14ac:dyDescent="0.2">
      <c r="A265" s="138">
        <v>245</v>
      </c>
      <c r="B265" s="139"/>
      <c r="C265" s="140" t="s">
        <v>520</v>
      </c>
      <c r="D265" s="141" t="s">
        <v>521</v>
      </c>
      <c r="E265" s="69">
        <v>149</v>
      </c>
      <c r="F265" s="69">
        <v>163</v>
      </c>
      <c r="G265" s="69">
        <v>15</v>
      </c>
      <c r="H265" s="69" t="s">
        <v>18</v>
      </c>
      <c r="I265" s="69">
        <v>2</v>
      </c>
      <c r="J265" s="140"/>
      <c r="K265" s="140" t="s">
        <v>522</v>
      </c>
    </row>
    <row r="266" spans="1:11" x14ac:dyDescent="0.2">
      <c r="A266" s="138">
        <v>246</v>
      </c>
      <c r="B266" s="139"/>
      <c r="C266" s="140" t="s">
        <v>523</v>
      </c>
      <c r="D266" s="141" t="s">
        <v>524</v>
      </c>
      <c r="E266" s="69">
        <v>164</v>
      </c>
      <c r="F266" s="69">
        <v>168</v>
      </c>
      <c r="G266" s="69">
        <v>5</v>
      </c>
      <c r="H266" s="69" t="s">
        <v>18</v>
      </c>
      <c r="I266" s="141" t="s">
        <v>490</v>
      </c>
      <c r="J266" s="140"/>
      <c r="K266" s="140" t="s">
        <v>1379</v>
      </c>
    </row>
    <row r="267" spans="1:11" x14ac:dyDescent="0.2">
      <c r="A267" s="138">
        <v>247</v>
      </c>
      <c r="B267" s="139"/>
      <c r="C267" s="140" t="s">
        <v>526</v>
      </c>
      <c r="D267" s="141" t="s">
        <v>527</v>
      </c>
      <c r="E267" s="69">
        <v>169</v>
      </c>
      <c r="F267" s="69">
        <v>183</v>
      </c>
      <c r="G267" s="69">
        <v>15</v>
      </c>
      <c r="H267" s="69" t="s">
        <v>18</v>
      </c>
      <c r="I267" s="69">
        <v>2</v>
      </c>
      <c r="J267" s="140"/>
      <c r="K267" s="140"/>
    </row>
    <row r="268" spans="1:11" x14ac:dyDescent="0.2">
      <c r="A268" s="2">
        <f>A263+1</f>
        <v>244</v>
      </c>
      <c r="B268" s="10"/>
      <c r="C268" s="10" t="s">
        <v>28</v>
      </c>
      <c r="D268" s="29" t="s">
        <v>14</v>
      </c>
      <c r="E268" s="28">
        <f>F263+1</f>
        <v>134</v>
      </c>
      <c r="F268" s="28">
        <v>600</v>
      </c>
      <c r="G268" s="28">
        <f>F268-F267</f>
        <v>417</v>
      </c>
      <c r="H268" s="28" t="s">
        <v>15</v>
      </c>
      <c r="I268" s="28"/>
      <c r="J268" s="3"/>
      <c r="K268" s="3" t="s">
        <v>29</v>
      </c>
    </row>
    <row r="269" spans="1:11" x14ac:dyDescent="0.2">
      <c r="A269" s="2">
        <f t="shared" si="30"/>
        <v>245</v>
      </c>
      <c r="B269" s="159" t="s">
        <v>586</v>
      </c>
      <c r="C269" s="158"/>
      <c r="D269" s="29" t="s">
        <v>14</v>
      </c>
      <c r="E269" s="28">
        <f>$F$16+1</f>
        <v>7</v>
      </c>
      <c r="F269" s="28">
        <f>G269+$F$16</f>
        <v>9</v>
      </c>
      <c r="G269" s="28">
        <v>3</v>
      </c>
      <c r="H269" s="28" t="s">
        <v>18</v>
      </c>
      <c r="I269" s="28"/>
      <c r="J269" s="3"/>
      <c r="K269" s="158" t="s">
        <v>587</v>
      </c>
    </row>
    <row r="270" spans="1:11" ht="15" x14ac:dyDescent="0.2">
      <c r="A270" s="2">
        <f t="shared" si="30"/>
        <v>246</v>
      </c>
      <c r="B270" s="10"/>
      <c r="C270" s="165" t="s">
        <v>267</v>
      </c>
      <c r="D270" s="55">
        <v>99</v>
      </c>
      <c r="E270" s="28">
        <f t="shared" ref="E270:E282" si="33">F269+1</f>
        <v>10</v>
      </c>
      <c r="F270" s="28">
        <f t="shared" ref="F270:F281" si="34">F269+G270</f>
        <v>12</v>
      </c>
      <c r="G270" s="18">
        <v>3</v>
      </c>
      <c r="H270" s="18" t="s">
        <v>18</v>
      </c>
      <c r="I270" s="28"/>
      <c r="J270" s="3"/>
      <c r="K270" s="3" t="s">
        <v>268</v>
      </c>
    </row>
    <row r="271" spans="1:11" ht="15" x14ac:dyDescent="0.2">
      <c r="A271" s="2">
        <f t="shared" si="30"/>
        <v>247</v>
      </c>
      <c r="B271" s="10"/>
      <c r="C271" s="30" t="s">
        <v>588</v>
      </c>
      <c r="D271" s="56">
        <v>247</v>
      </c>
      <c r="E271" s="28">
        <f t="shared" si="33"/>
        <v>13</v>
      </c>
      <c r="F271" s="28">
        <f t="shared" si="34"/>
        <v>17</v>
      </c>
      <c r="G271" s="35">
        <v>5</v>
      </c>
      <c r="H271" s="35" t="s">
        <v>15</v>
      </c>
      <c r="I271" s="35"/>
      <c r="J271" s="3"/>
      <c r="K271" s="3" t="s">
        <v>589</v>
      </c>
    </row>
    <row r="272" spans="1:11" ht="15" x14ac:dyDescent="0.2">
      <c r="A272" s="2">
        <f t="shared" si="30"/>
        <v>248</v>
      </c>
      <c r="B272" s="10"/>
      <c r="C272" s="30" t="s">
        <v>590</v>
      </c>
      <c r="D272" s="56">
        <v>248</v>
      </c>
      <c r="E272" s="28">
        <f t="shared" si="33"/>
        <v>18</v>
      </c>
      <c r="F272" s="28">
        <f t="shared" si="34"/>
        <v>31</v>
      </c>
      <c r="G272" s="35">
        <v>14</v>
      </c>
      <c r="H272" s="35" t="s">
        <v>15</v>
      </c>
      <c r="I272" s="35"/>
      <c r="J272" s="3"/>
      <c r="K272" s="3"/>
    </row>
    <row r="273" spans="1:11" ht="15" x14ac:dyDescent="0.2">
      <c r="A273" s="2">
        <f t="shared" si="30"/>
        <v>249</v>
      </c>
      <c r="B273" s="10"/>
      <c r="C273" s="30" t="s">
        <v>591</v>
      </c>
      <c r="D273" s="56">
        <v>249</v>
      </c>
      <c r="E273" s="28">
        <f t="shared" si="33"/>
        <v>32</v>
      </c>
      <c r="F273" s="28">
        <f t="shared" si="34"/>
        <v>91</v>
      </c>
      <c r="G273" s="205">
        <v>60</v>
      </c>
      <c r="H273" s="35" t="s">
        <v>15</v>
      </c>
      <c r="I273" s="35"/>
      <c r="J273" s="3"/>
      <c r="K273" s="3"/>
    </row>
    <row r="274" spans="1:11" ht="15" x14ac:dyDescent="0.2">
      <c r="A274" s="2">
        <f t="shared" si="30"/>
        <v>250</v>
      </c>
      <c r="B274" s="10"/>
      <c r="C274" s="30" t="s">
        <v>592</v>
      </c>
      <c r="D274" s="56">
        <v>250</v>
      </c>
      <c r="E274" s="28">
        <f t="shared" si="33"/>
        <v>92</v>
      </c>
      <c r="F274" s="28">
        <f t="shared" si="34"/>
        <v>103</v>
      </c>
      <c r="G274" s="35">
        <v>12</v>
      </c>
      <c r="H274" s="35" t="s">
        <v>18</v>
      </c>
      <c r="I274" s="35"/>
      <c r="J274" s="3"/>
      <c r="K274" s="3"/>
    </row>
    <row r="275" spans="1:11" ht="15" x14ac:dyDescent="0.2">
      <c r="A275" s="2">
        <f t="shared" si="30"/>
        <v>251</v>
      </c>
      <c r="B275" s="10"/>
      <c r="C275" s="30" t="s">
        <v>593</v>
      </c>
      <c r="D275" s="56">
        <v>251</v>
      </c>
      <c r="E275" s="28">
        <f t="shared" si="33"/>
        <v>104</v>
      </c>
      <c r="F275" s="28">
        <f t="shared" si="34"/>
        <v>106</v>
      </c>
      <c r="G275" s="35">
        <v>3</v>
      </c>
      <c r="H275" s="35" t="s">
        <v>15</v>
      </c>
      <c r="I275" s="35"/>
      <c r="J275" s="3"/>
      <c r="K275" s="3"/>
    </row>
    <row r="276" spans="1:11" ht="178.5" x14ac:dyDescent="0.2">
      <c r="A276" s="2">
        <f t="shared" si="30"/>
        <v>252</v>
      </c>
      <c r="B276" s="10"/>
      <c r="C276" s="30" t="s">
        <v>594</v>
      </c>
      <c r="D276" s="29" t="s">
        <v>595</v>
      </c>
      <c r="E276" s="28">
        <f t="shared" si="33"/>
        <v>107</v>
      </c>
      <c r="F276" s="28">
        <f t="shared" si="34"/>
        <v>108</v>
      </c>
      <c r="G276" s="35">
        <v>2</v>
      </c>
      <c r="H276" s="35" t="s">
        <v>15</v>
      </c>
      <c r="I276" s="35"/>
      <c r="J276" s="3"/>
      <c r="K276" s="3" t="s">
        <v>596</v>
      </c>
    </row>
    <row r="277" spans="1:11" ht="15" x14ac:dyDescent="0.2">
      <c r="A277" s="2">
        <f t="shared" si="30"/>
        <v>253</v>
      </c>
      <c r="B277" s="10"/>
      <c r="C277" s="30" t="s">
        <v>597</v>
      </c>
      <c r="D277" s="56">
        <v>254</v>
      </c>
      <c r="E277" s="28">
        <f t="shared" si="33"/>
        <v>109</v>
      </c>
      <c r="F277" s="28">
        <f t="shared" si="34"/>
        <v>123</v>
      </c>
      <c r="G277" s="35">
        <v>15</v>
      </c>
      <c r="H277" s="35" t="s">
        <v>18</v>
      </c>
      <c r="I277" s="35">
        <v>2</v>
      </c>
      <c r="J277" s="3"/>
      <c r="K277" s="3"/>
    </row>
    <row r="278" spans="1:11" ht="15" x14ac:dyDescent="0.2">
      <c r="A278" s="2">
        <f t="shared" si="30"/>
        <v>254</v>
      </c>
      <c r="B278" s="10"/>
      <c r="C278" s="30" t="s">
        <v>598</v>
      </c>
      <c r="D278" s="56">
        <v>255</v>
      </c>
      <c r="E278" s="28">
        <f t="shared" si="33"/>
        <v>124</v>
      </c>
      <c r="F278" s="28">
        <f t="shared" si="34"/>
        <v>139</v>
      </c>
      <c r="G278" s="35">
        <v>16</v>
      </c>
      <c r="H278" s="35" t="s">
        <v>18</v>
      </c>
      <c r="I278" s="35">
        <v>4</v>
      </c>
      <c r="J278" s="3"/>
      <c r="K278" s="3" t="s">
        <v>599</v>
      </c>
    </row>
    <row r="279" spans="1:11" ht="15" x14ac:dyDescent="0.2">
      <c r="A279" s="2">
        <f t="shared" si="30"/>
        <v>255</v>
      </c>
      <c r="B279" s="10"/>
      <c r="C279" s="30" t="s">
        <v>600</v>
      </c>
      <c r="D279" s="56">
        <v>256</v>
      </c>
      <c r="E279" s="28">
        <f t="shared" si="33"/>
        <v>140</v>
      </c>
      <c r="F279" s="28">
        <f t="shared" si="34"/>
        <v>154</v>
      </c>
      <c r="G279" s="35">
        <v>15</v>
      </c>
      <c r="H279" s="35" t="s">
        <v>18</v>
      </c>
      <c r="I279" s="35">
        <v>4</v>
      </c>
      <c r="J279" s="3"/>
      <c r="K279" s="3" t="s">
        <v>599</v>
      </c>
    </row>
    <row r="280" spans="1:11" ht="15" x14ac:dyDescent="0.2">
      <c r="A280" s="2">
        <f t="shared" si="30"/>
        <v>256</v>
      </c>
      <c r="B280" s="10"/>
      <c r="C280" s="30" t="s">
        <v>601</v>
      </c>
      <c r="D280" s="56">
        <v>257</v>
      </c>
      <c r="E280" s="28">
        <f t="shared" si="33"/>
        <v>155</v>
      </c>
      <c r="F280" s="28">
        <f t="shared" si="34"/>
        <v>159</v>
      </c>
      <c r="G280" s="35">
        <v>5</v>
      </c>
      <c r="H280" s="35" t="s">
        <v>18</v>
      </c>
      <c r="I280" s="35">
        <v>2</v>
      </c>
      <c r="J280" s="3"/>
      <c r="K280" s="3" t="s">
        <v>602</v>
      </c>
    </row>
    <row r="281" spans="1:11" ht="15" x14ac:dyDescent="0.2">
      <c r="A281" s="2">
        <f t="shared" si="30"/>
        <v>257</v>
      </c>
      <c r="B281" s="10"/>
      <c r="C281" s="30" t="s">
        <v>603</v>
      </c>
      <c r="D281" s="56">
        <v>259</v>
      </c>
      <c r="E281" s="28">
        <f t="shared" si="33"/>
        <v>160</v>
      </c>
      <c r="F281" s="28">
        <f t="shared" si="34"/>
        <v>174</v>
      </c>
      <c r="G281" s="35">
        <v>15</v>
      </c>
      <c r="H281" s="35" t="s">
        <v>18</v>
      </c>
      <c r="I281" s="35">
        <v>2</v>
      </c>
      <c r="J281" s="3"/>
      <c r="K281" s="3" t="s">
        <v>602</v>
      </c>
    </row>
    <row r="282" spans="1:11" x14ac:dyDescent="0.2">
      <c r="A282" s="2">
        <f t="shared" si="30"/>
        <v>258</v>
      </c>
      <c r="B282" s="10"/>
      <c r="C282" s="10" t="s">
        <v>28</v>
      </c>
      <c r="D282" s="29" t="s">
        <v>14</v>
      </c>
      <c r="E282" s="28">
        <f t="shared" si="33"/>
        <v>175</v>
      </c>
      <c r="F282" s="28">
        <v>600</v>
      </c>
      <c r="G282" s="28">
        <f>F282-F281</f>
        <v>426</v>
      </c>
      <c r="H282" s="28" t="s">
        <v>15</v>
      </c>
      <c r="I282" s="28"/>
      <c r="J282" s="3"/>
      <c r="K282" s="3" t="s">
        <v>29</v>
      </c>
    </row>
    <row r="283" spans="1:11" x14ac:dyDescent="0.2">
      <c r="A283" s="2">
        <f t="shared" ref="A283:A314" si="35">A282+1</f>
        <v>259</v>
      </c>
      <c r="B283" s="159" t="s">
        <v>604</v>
      </c>
      <c r="C283" s="158"/>
      <c r="D283" s="29" t="s">
        <v>14</v>
      </c>
      <c r="E283" s="28">
        <f>$F$16+1</f>
        <v>7</v>
      </c>
      <c r="F283" s="28">
        <f>G283+$F$16</f>
        <v>9</v>
      </c>
      <c r="G283" s="28">
        <v>3</v>
      </c>
      <c r="H283" s="28" t="s">
        <v>18</v>
      </c>
      <c r="I283" s="28"/>
      <c r="J283" s="3"/>
      <c r="K283" s="158" t="s">
        <v>605</v>
      </c>
    </row>
    <row r="284" spans="1:11" ht="15" x14ac:dyDescent="0.2">
      <c r="A284" s="2">
        <f t="shared" si="35"/>
        <v>260</v>
      </c>
      <c r="B284" s="10"/>
      <c r="C284" s="165" t="s">
        <v>267</v>
      </c>
      <c r="D284" s="55">
        <v>99</v>
      </c>
      <c r="E284" s="28">
        <f t="shared" ref="E284:E289" si="36">F283+1</f>
        <v>10</v>
      </c>
      <c r="F284" s="28">
        <f>F283+G284</f>
        <v>12</v>
      </c>
      <c r="G284" s="18">
        <v>3</v>
      </c>
      <c r="H284" s="18" t="s">
        <v>18</v>
      </c>
      <c r="I284" s="28"/>
      <c r="J284" s="3"/>
      <c r="K284" s="3" t="s">
        <v>268</v>
      </c>
    </row>
    <row r="285" spans="1:11" ht="15" x14ac:dyDescent="0.2">
      <c r="A285" s="2">
        <f t="shared" si="35"/>
        <v>261</v>
      </c>
      <c r="B285" s="10"/>
      <c r="C285" s="30" t="s">
        <v>606</v>
      </c>
      <c r="D285" s="56">
        <v>263</v>
      </c>
      <c r="E285" s="28">
        <f t="shared" si="36"/>
        <v>13</v>
      </c>
      <c r="F285" s="28">
        <f>F284+G285</f>
        <v>27</v>
      </c>
      <c r="G285" s="35">
        <v>15</v>
      </c>
      <c r="H285" s="35" t="s">
        <v>18</v>
      </c>
      <c r="I285" s="35">
        <v>2</v>
      </c>
      <c r="J285" s="3"/>
      <c r="K285" s="3"/>
    </row>
    <row r="286" spans="1:11" ht="15" x14ac:dyDescent="0.2">
      <c r="A286" s="2">
        <f t="shared" si="35"/>
        <v>262</v>
      </c>
      <c r="B286" s="10"/>
      <c r="C286" s="30" t="s">
        <v>607</v>
      </c>
      <c r="D286" s="56">
        <v>264</v>
      </c>
      <c r="E286" s="28">
        <f t="shared" si="36"/>
        <v>28</v>
      </c>
      <c r="F286" s="28">
        <f>F285+G286</f>
        <v>42</v>
      </c>
      <c r="G286" s="35">
        <v>15</v>
      </c>
      <c r="H286" s="35" t="s">
        <v>18</v>
      </c>
      <c r="I286" s="35">
        <v>2</v>
      </c>
      <c r="J286" s="3"/>
      <c r="K286" s="3"/>
    </row>
    <row r="287" spans="1:11" ht="15" x14ac:dyDescent="0.2">
      <c r="A287" s="2">
        <f t="shared" si="35"/>
        <v>263</v>
      </c>
      <c r="B287" s="10"/>
      <c r="C287" s="30" t="s">
        <v>608</v>
      </c>
      <c r="D287" s="29">
        <v>265</v>
      </c>
      <c r="E287" s="28">
        <f t="shared" si="36"/>
        <v>43</v>
      </c>
      <c r="F287" s="28">
        <f>F286+G287</f>
        <v>57</v>
      </c>
      <c r="G287" s="35">
        <v>15</v>
      </c>
      <c r="H287" s="35" t="s">
        <v>18</v>
      </c>
      <c r="I287" s="35">
        <v>2</v>
      </c>
      <c r="J287" s="3"/>
      <c r="K287" s="3"/>
    </row>
    <row r="288" spans="1:11" ht="15" x14ac:dyDescent="0.2">
      <c r="A288" s="2">
        <f t="shared" si="35"/>
        <v>264</v>
      </c>
      <c r="B288" s="10"/>
      <c r="C288" s="30" t="s">
        <v>609</v>
      </c>
      <c r="D288" s="29">
        <v>266</v>
      </c>
      <c r="E288" s="28">
        <f t="shared" si="36"/>
        <v>58</v>
      </c>
      <c r="F288" s="28">
        <f>F287+G288</f>
        <v>72</v>
      </c>
      <c r="G288" s="35">
        <v>15</v>
      </c>
      <c r="H288" s="35" t="s">
        <v>18</v>
      </c>
      <c r="I288" s="35">
        <v>2</v>
      </c>
      <c r="J288" s="3"/>
      <c r="K288" s="3"/>
    </row>
    <row r="289" spans="1:11" x14ac:dyDescent="0.2">
      <c r="A289" s="2">
        <f t="shared" si="35"/>
        <v>265</v>
      </c>
      <c r="B289" s="10"/>
      <c r="C289" s="10" t="s">
        <v>28</v>
      </c>
      <c r="D289" s="29" t="s">
        <v>14</v>
      </c>
      <c r="E289" s="28">
        <f t="shared" si="36"/>
        <v>73</v>
      </c>
      <c r="F289" s="28">
        <v>600</v>
      </c>
      <c r="G289" s="28">
        <f>F289-F288</f>
        <v>528</v>
      </c>
      <c r="H289" s="28" t="s">
        <v>15</v>
      </c>
      <c r="I289" s="28"/>
      <c r="J289" s="3"/>
      <c r="K289" s="3" t="s">
        <v>29</v>
      </c>
    </row>
    <row r="290" spans="1:11" x14ac:dyDescent="0.2">
      <c r="A290" s="2">
        <f t="shared" si="35"/>
        <v>266</v>
      </c>
      <c r="B290" s="159" t="s">
        <v>610</v>
      </c>
      <c r="C290" s="158"/>
      <c r="D290" s="29" t="s">
        <v>14</v>
      </c>
      <c r="E290" s="28">
        <f>$F$16+1</f>
        <v>7</v>
      </c>
      <c r="F290" s="28">
        <f>G290+$F$16</f>
        <v>9</v>
      </c>
      <c r="G290" s="28">
        <v>3</v>
      </c>
      <c r="H290" s="28" t="s">
        <v>18</v>
      </c>
      <c r="I290" s="28"/>
      <c r="J290" s="3"/>
      <c r="K290" s="158" t="s">
        <v>611</v>
      </c>
    </row>
    <row r="291" spans="1:11" ht="15" x14ac:dyDescent="0.2">
      <c r="A291" s="2">
        <f t="shared" si="35"/>
        <v>267</v>
      </c>
      <c r="B291" s="10"/>
      <c r="C291" s="165" t="s">
        <v>267</v>
      </c>
      <c r="D291" s="55">
        <v>99</v>
      </c>
      <c r="E291" s="28">
        <f t="shared" ref="E291:E298" si="37">F290+1</f>
        <v>10</v>
      </c>
      <c r="F291" s="28">
        <f t="shared" ref="F291:F297" si="38">F290+G291</f>
        <v>12</v>
      </c>
      <c r="G291" s="18">
        <v>3</v>
      </c>
      <c r="H291" s="18" t="s">
        <v>18</v>
      </c>
      <c r="I291" s="28"/>
      <c r="J291" s="3"/>
      <c r="K291" s="3" t="s">
        <v>268</v>
      </c>
    </row>
    <row r="292" spans="1:11" ht="178.5" x14ac:dyDescent="0.2">
      <c r="A292" s="2">
        <f t="shared" si="35"/>
        <v>268</v>
      </c>
      <c r="B292" s="10"/>
      <c r="C292" s="30" t="s">
        <v>612</v>
      </c>
      <c r="D292" s="29" t="s">
        <v>613</v>
      </c>
      <c r="E292" s="28">
        <f t="shared" si="37"/>
        <v>13</v>
      </c>
      <c r="F292" s="28">
        <f t="shared" si="38"/>
        <v>14</v>
      </c>
      <c r="G292" s="35">
        <v>2</v>
      </c>
      <c r="H292" s="35" t="s">
        <v>18</v>
      </c>
      <c r="I292" s="35"/>
      <c r="J292" s="3"/>
      <c r="K292" s="186" t="s">
        <v>1380</v>
      </c>
    </row>
    <row r="293" spans="1:11" ht="25.5" x14ac:dyDescent="0.2">
      <c r="A293" s="2">
        <f t="shared" si="35"/>
        <v>269</v>
      </c>
      <c r="B293" s="10"/>
      <c r="C293" s="30" t="s">
        <v>615</v>
      </c>
      <c r="D293" s="29" t="s">
        <v>616</v>
      </c>
      <c r="E293" s="28">
        <f t="shared" si="37"/>
        <v>15</v>
      </c>
      <c r="F293" s="28">
        <f t="shared" si="38"/>
        <v>29</v>
      </c>
      <c r="G293" s="35">
        <v>15</v>
      </c>
      <c r="H293" s="35" t="s">
        <v>18</v>
      </c>
      <c r="I293" s="35">
        <v>2</v>
      </c>
      <c r="J293" s="3"/>
      <c r="K293" s="3"/>
    </row>
    <row r="294" spans="1:11" ht="25.5" x14ac:dyDescent="0.2">
      <c r="A294" s="2">
        <f t="shared" si="35"/>
        <v>270</v>
      </c>
      <c r="B294" s="10"/>
      <c r="C294" s="30" t="s">
        <v>617</v>
      </c>
      <c r="D294" s="29" t="s">
        <v>618</v>
      </c>
      <c r="E294" s="28">
        <f t="shared" si="37"/>
        <v>30</v>
      </c>
      <c r="F294" s="28">
        <f t="shared" si="38"/>
        <v>34</v>
      </c>
      <c r="G294" s="35">
        <v>5</v>
      </c>
      <c r="H294" s="35" t="s">
        <v>18</v>
      </c>
      <c r="I294" s="35">
        <v>2</v>
      </c>
      <c r="J294" s="3"/>
      <c r="K294" s="3"/>
    </row>
    <row r="295" spans="1:11" ht="25.5" x14ac:dyDescent="0.2">
      <c r="A295" s="2">
        <f t="shared" si="35"/>
        <v>271</v>
      </c>
      <c r="B295" s="10"/>
      <c r="C295" s="30" t="s">
        <v>619</v>
      </c>
      <c r="D295" s="29" t="s">
        <v>620</v>
      </c>
      <c r="E295" s="28">
        <f t="shared" si="37"/>
        <v>35</v>
      </c>
      <c r="F295" s="28">
        <f t="shared" si="38"/>
        <v>50</v>
      </c>
      <c r="G295" s="35">
        <v>16</v>
      </c>
      <c r="H295" s="35" t="s">
        <v>18</v>
      </c>
      <c r="I295" s="35">
        <v>4</v>
      </c>
      <c r="J295" s="3"/>
      <c r="K295" s="3"/>
    </row>
    <row r="296" spans="1:11" ht="38.25" x14ac:dyDescent="0.2">
      <c r="A296" s="2">
        <f t="shared" si="35"/>
        <v>272</v>
      </c>
      <c r="B296" s="10"/>
      <c r="C296" s="30" t="s">
        <v>621</v>
      </c>
      <c r="D296" s="29" t="s">
        <v>1381</v>
      </c>
      <c r="E296" s="28">
        <f t="shared" si="37"/>
        <v>51</v>
      </c>
      <c r="F296" s="28">
        <f t="shared" si="38"/>
        <v>65</v>
      </c>
      <c r="G296" s="35">
        <v>15</v>
      </c>
      <c r="H296" s="35" t="s">
        <v>18</v>
      </c>
      <c r="I296" s="35">
        <v>4</v>
      </c>
      <c r="J296" s="3"/>
      <c r="K296" s="3"/>
    </row>
    <row r="297" spans="1:11" ht="38.25" x14ac:dyDescent="0.2">
      <c r="A297" s="2">
        <f t="shared" si="35"/>
        <v>273</v>
      </c>
      <c r="B297" s="10"/>
      <c r="C297" s="30" t="s">
        <v>623</v>
      </c>
      <c r="D297" s="29" t="s">
        <v>624</v>
      </c>
      <c r="E297" s="28">
        <f t="shared" si="37"/>
        <v>66</v>
      </c>
      <c r="F297" s="28">
        <f t="shared" si="38"/>
        <v>80</v>
      </c>
      <c r="G297" s="35">
        <v>15</v>
      </c>
      <c r="H297" s="35" t="s">
        <v>18</v>
      </c>
      <c r="I297" s="35">
        <v>2</v>
      </c>
      <c r="J297" s="3"/>
      <c r="K297" s="3"/>
    </row>
    <row r="298" spans="1:11" x14ac:dyDescent="0.2">
      <c r="A298" s="2">
        <f t="shared" si="35"/>
        <v>274</v>
      </c>
      <c r="B298" s="10"/>
      <c r="C298" s="10" t="s">
        <v>28</v>
      </c>
      <c r="D298" s="29" t="s">
        <v>14</v>
      </c>
      <c r="E298" s="28">
        <f t="shared" si="37"/>
        <v>81</v>
      </c>
      <c r="F298" s="28">
        <v>600</v>
      </c>
      <c r="G298" s="28">
        <f>F298-F297</f>
        <v>520</v>
      </c>
      <c r="H298" s="28" t="s">
        <v>15</v>
      </c>
      <c r="I298" s="28"/>
      <c r="J298" s="3"/>
      <c r="K298" s="3" t="s">
        <v>29</v>
      </c>
    </row>
    <row r="299" spans="1:11" x14ac:dyDescent="0.2">
      <c r="A299" s="2">
        <f t="shared" si="35"/>
        <v>275</v>
      </c>
      <c r="B299" s="159" t="s">
        <v>625</v>
      </c>
      <c r="C299" s="158"/>
      <c r="D299" s="29" t="s">
        <v>14</v>
      </c>
      <c r="E299" s="28">
        <f>$F$16+1</f>
        <v>7</v>
      </c>
      <c r="F299" s="28">
        <f>G299+$F$16</f>
        <v>9</v>
      </c>
      <c r="G299" s="28">
        <v>3</v>
      </c>
      <c r="H299" s="28" t="s">
        <v>18</v>
      </c>
      <c r="I299" s="28"/>
      <c r="J299" s="3"/>
      <c r="K299" s="158" t="s">
        <v>626</v>
      </c>
    </row>
    <row r="300" spans="1:11" ht="15" x14ac:dyDescent="0.2">
      <c r="A300" s="2">
        <f t="shared" si="35"/>
        <v>276</v>
      </c>
      <c r="B300" s="10"/>
      <c r="C300" s="165" t="s">
        <v>267</v>
      </c>
      <c r="D300" s="55">
        <v>99</v>
      </c>
      <c r="E300" s="28">
        <f t="shared" ref="E300:E306" si="39">F299+1</f>
        <v>10</v>
      </c>
      <c r="F300" s="28">
        <f t="shared" ref="F300:F305" si="40">F299+G300</f>
        <v>12</v>
      </c>
      <c r="G300" s="18">
        <v>3</v>
      </c>
      <c r="H300" s="18" t="s">
        <v>18</v>
      </c>
      <c r="I300" s="28"/>
      <c r="J300" s="3"/>
      <c r="K300" s="3" t="s">
        <v>268</v>
      </c>
    </row>
    <row r="301" spans="1:11" ht="15" x14ac:dyDescent="0.2">
      <c r="A301" s="2">
        <f t="shared" si="35"/>
        <v>277</v>
      </c>
      <c r="B301" s="10"/>
      <c r="C301" s="30" t="s">
        <v>615</v>
      </c>
      <c r="D301" s="56">
        <v>288</v>
      </c>
      <c r="E301" s="28">
        <f t="shared" si="39"/>
        <v>13</v>
      </c>
      <c r="F301" s="28">
        <f t="shared" si="40"/>
        <v>27</v>
      </c>
      <c r="G301" s="35">
        <v>15</v>
      </c>
      <c r="H301" s="35" t="s">
        <v>18</v>
      </c>
      <c r="I301" s="35">
        <v>2</v>
      </c>
      <c r="J301" s="3"/>
      <c r="K301" s="3"/>
    </row>
    <row r="302" spans="1:11" ht="15" x14ac:dyDescent="0.2">
      <c r="A302" s="2">
        <f t="shared" si="35"/>
        <v>278</v>
      </c>
      <c r="B302" s="10"/>
      <c r="C302" s="30" t="s">
        <v>617</v>
      </c>
      <c r="D302" s="29">
        <v>289</v>
      </c>
      <c r="E302" s="28">
        <f t="shared" si="39"/>
        <v>28</v>
      </c>
      <c r="F302" s="28">
        <f t="shared" si="40"/>
        <v>32</v>
      </c>
      <c r="G302" s="35">
        <v>5</v>
      </c>
      <c r="H302" s="35" t="s">
        <v>18</v>
      </c>
      <c r="I302" s="35">
        <v>2</v>
      </c>
      <c r="J302" s="3"/>
      <c r="K302" s="3"/>
    </row>
    <row r="303" spans="1:11" ht="15" x14ac:dyDescent="0.2">
      <c r="A303" s="2">
        <f t="shared" si="35"/>
        <v>279</v>
      </c>
      <c r="B303" s="10"/>
      <c r="C303" s="30" t="s">
        <v>619</v>
      </c>
      <c r="D303" s="29">
        <v>290</v>
      </c>
      <c r="E303" s="28">
        <f t="shared" si="39"/>
        <v>33</v>
      </c>
      <c r="F303" s="28">
        <f t="shared" si="40"/>
        <v>48</v>
      </c>
      <c r="G303" s="35">
        <v>16</v>
      </c>
      <c r="H303" s="35" t="s">
        <v>18</v>
      </c>
      <c r="I303" s="35">
        <v>4</v>
      </c>
      <c r="J303" s="3"/>
      <c r="K303" s="3"/>
    </row>
    <row r="304" spans="1:11" ht="15" x14ac:dyDescent="0.2">
      <c r="A304" s="2">
        <f t="shared" si="35"/>
        <v>280</v>
      </c>
      <c r="B304" s="10"/>
      <c r="C304" s="30" t="s">
        <v>621</v>
      </c>
      <c r="D304" s="29">
        <v>291</v>
      </c>
      <c r="E304" s="28">
        <f t="shared" si="39"/>
        <v>49</v>
      </c>
      <c r="F304" s="28">
        <f t="shared" si="40"/>
        <v>63</v>
      </c>
      <c r="G304" s="35">
        <v>15</v>
      </c>
      <c r="H304" s="35" t="s">
        <v>18</v>
      </c>
      <c r="I304" s="35">
        <v>4</v>
      </c>
      <c r="J304" s="3"/>
      <c r="K304" s="3"/>
    </row>
    <row r="305" spans="1:11" ht="15" x14ac:dyDescent="0.2">
      <c r="A305" s="2">
        <f t="shared" si="35"/>
        <v>281</v>
      </c>
      <c r="B305" s="10"/>
      <c r="C305" s="30" t="s">
        <v>623</v>
      </c>
      <c r="D305" s="29">
        <v>292</v>
      </c>
      <c r="E305" s="28">
        <f t="shared" si="39"/>
        <v>64</v>
      </c>
      <c r="F305" s="28">
        <f t="shared" si="40"/>
        <v>78</v>
      </c>
      <c r="G305" s="35">
        <v>15</v>
      </c>
      <c r="H305" s="35" t="s">
        <v>18</v>
      </c>
      <c r="I305" s="35">
        <v>2</v>
      </c>
      <c r="J305" s="3"/>
      <c r="K305" s="3"/>
    </row>
    <row r="306" spans="1:11" x14ac:dyDescent="0.2">
      <c r="A306" s="2">
        <f t="shared" si="35"/>
        <v>282</v>
      </c>
      <c r="B306" s="10"/>
      <c r="C306" s="10" t="s">
        <v>28</v>
      </c>
      <c r="D306" s="29" t="s">
        <v>14</v>
      </c>
      <c r="E306" s="28">
        <f t="shared" si="39"/>
        <v>79</v>
      </c>
      <c r="F306" s="28">
        <v>600</v>
      </c>
      <c r="G306" s="28">
        <f>F306-F305</f>
        <v>522</v>
      </c>
      <c r="H306" s="28" t="s">
        <v>15</v>
      </c>
      <c r="I306" s="28"/>
      <c r="J306" s="3"/>
      <c r="K306" s="3" t="s">
        <v>29</v>
      </c>
    </row>
    <row r="307" spans="1:11" x14ac:dyDescent="0.2">
      <c r="A307" s="2">
        <f t="shared" si="35"/>
        <v>283</v>
      </c>
      <c r="B307" s="159" t="s">
        <v>630</v>
      </c>
      <c r="C307" s="158"/>
      <c r="D307" s="29" t="s">
        <v>14</v>
      </c>
      <c r="E307" s="28">
        <f>$F$16+1</f>
        <v>7</v>
      </c>
      <c r="F307" s="28">
        <f>G307+$F$16</f>
        <v>9</v>
      </c>
      <c r="G307" s="28">
        <v>3</v>
      </c>
      <c r="H307" s="28" t="s">
        <v>18</v>
      </c>
      <c r="I307" s="28"/>
      <c r="J307" s="3"/>
      <c r="K307" s="158" t="s">
        <v>631</v>
      </c>
    </row>
    <row r="308" spans="1:11" ht="15" x14ac:dyDescent="0.2">
      <c r="A308" s="2">
        <f t="shared" si="35"/>
        <v>284</v>
      </c>
      <c r="B308" s="10"/>
      <c r="C308" s="165" t="s">
        <v>267</v>
      </c>
      <c r="D308" s="55">
        <v>99</v>
      </c>
      <c r="E308" s="28">
        <f t="shared" ref="E308:E315" si="41">F307+1</f>
        <v>10</v>
      </c>
      <c r="F308" s="28">
        <f t="shared" ref="F308:F314" si="42">F307+G308</f>
        <v>12</v>
      </c>
      <c r="G308" s="18">
        <v>3</v>
      </c>
      <c r="H308" s="18" t="s">
        <v>18</v>
      </c>
      <c r="I308" s="28"/>
      <c r="J308" s="3"/>
      <c r="K308" s="3" t="s">
        <v>268</v>
      </c>
    </row>
    <row r="309" spans="1:11" ht="140.25" x14ac:dyDescent="0.2">
      <c r="A309" s="2">
        <f t="shared" si="35"/>
        <v>285</v>
      </c>
      <c r="B309" s="10"/>
      <c r="C309" s="30" t="s">
        <v>632</v>
      </c>
      <c r="D309" s="29" t="s">
        <v>633</v>
      </c>
      <c r="E309" s="28">
        <f t="shared" si="41"/>
        <v>13</v>
      </c>
      <c r="F309" s="28">
        <f t="shared" si="42"/>
        <v>14</v>
      </c>
      <c r="G309" s="35">
        <v>2</v>
      </c>
      <c r="H309" s="35" t="s">
        <v>18</v>
      </c>
      <c r="I309" s="35"/>
      <c r="J309" s="3"/>
      <c r="K309" s="186" t="s">
        <v>1382</v>
      </c>
    </row>
    <row r="310" spans="1:11" ht="25.5" x14ac:dyDescent="0.2">
      <c r="A310" s="2">
        <f t="shared" si="35"/>
        <v>286</v>
      </c>
      <c r="B310" s="10"/>
      <c r="C310" s="30" t="s">
        <v>635</v>
      </c>
      <c r="D310" s="29" t="s">
        <v>636</v>
      </c>
      <c r="E310" s="28">
        <f t="shared" si="41"/>
        <v>15</v>
      </c>
      <c r="F310" s="28">
        <f t="shared" si="42"/>
        <v>29</v>
      </c>
      <c r="G310" s="35">
        <v>15</v>
      </c>
      <c r="H310" s="35" t="s">
        <v>18</v>
      </c>
      <c r="I310" s="35">
        <v>2</v>
      </c>
      <c r="J310" s="3"/>
      <c r="K310" s="3"/>
    </row>
    <row r="311" spans="1:11" ht="25.5" x14ac:dyDescent="0.2">
      <c r="A311" s="2">
        <f t="shared" si="35"/>
        <v>287</v>
      </c>
      <c r="B311" s="10"/>
      <c r="C311" s="30" t="s">
        <v>637</v>
      </c>
      <c r="D311" s="29" t="s">
        <v>638</v>
      </c>
      <c r="E311" s="28">
        <f t="shared" si="41"/>
        <v>30</v>
      </c>
      <c r="F311" s="28">
        <f t="shared" si="42"/>
        <v>34</v>
      </c>
      <c r="G311" s="35">
        <v>5</v>
      </c>
      <c r="H311" s="35" t="s">
        <v>18</v>
      </c>
      <c r="I311" s="35">
        <v>2</v>
      </c>
      <c r="J311" s="3"/>
      <c r="K311" s="3"/>
    </row>
    <row r="312" spans="1:11" ht="25.5" x14ac:dyDescent="0.2">
      <c r="A312" s="2">
        <f t="shared" si="35"/>
        <v>288</v>
      </c>
      <c r="B312" s="10"/>
      <c r="C312" s="30" t="s">
        <v>639</v>
      </c>
      <c r="D312" s="29" t="s">
        <v>640</v>
      </c>
      <c r="E312" s="28">
        <f t="shared" si="41"/>
        <v>35</v>
      </c>
      <c r="F312" s="28">
        <f t="shared" si="42"/>
        <v>49</v>
      </c>
      <c r="G312" s="35">
        <v>15</v>
      </c>
      <c r="H312" s="35" t="s">
        <v>18</v>
      </c>
      <c r="I312" s="35">
        <v>4</v>
      </c>
      <c r="J312" s="3"/>
      <c r="K312" s="3"/>
    </row>
    <row r="313" spans="1:11" ht="25.5" x14ac:dyDescent="0.2">
      <c r="A313" s="2">
        <f t="shared" si="35"/>
        <v>289</v>
      </c>
      <c r="B313" s="10"/>
      <c r="C313" s="30" t="s">
        <v>619</v>
      </c>
      <c r="D313" s="29" t="s">
        <v>641</v>
      </c>
      <c r="E313" s="28">
        <f t="shared" si="41"/>
        <v>50</v>
      </c>
      <c r="F313" s="28">
        <f t="shared" si="42"/>
        <v>65</v>
      </c>
      <c r="G313" s="35">
        <v>16</v>
      </c>
      <c r="H313" s="35" t="s">
        <v>18</v>
      </c>
      <c r="I313" s="35">
        <v>4</v>
      </c>
      <c r="J313" s="3"/>
      <c r="K313" s="3"/>
    </row>
    <row r="314" spans="1:11" ht="38.25" x14ac:dyDescent="0.2">
      <c r="A314" s="2">
        <f t="shared" si="35"/>
        <v>290</v>
      </c>
      <c r="B314" s="10"/>
      <c r="C314" s="30" t="s">
        <v>642</v>
      </c>
      <c r="D314" s="29" t="s">
        <v>643</v>
      </c>
      <c r="E314" s="28">
        <f t="shared" si="41"/>
        <v>66</v>
      </c>
      <c r="F314" s="28">
        <f t="shared" si="42"/>
        <v>80</v>
      </c>
      <c r="G314" s="35">
        <v>15</v>
      </c>
      <c r="H314" s="35" t="s">
        <v>18</v>
      </c>
      <c r="I314" s="35">
        <v>2</v>
      </c>
      <c r="J314" s="3"/>
      <c r="K314" s="3"/>
    </row>
    <row r="315" spans="1:11" x14ac:dyDescent="0.2">
      <c r="A315" s="2">
        <f t="shared" ref="A315:A336" si="43">A314+1</f>
        <v>291</v>
      </c>
      <c r="B315" s="10"/>
      <c r="C315" s="10" t="s">
        <v>28</v>
      </c>
      <c r="D315" s="29" t="s">
        <v>14</v>
      </c>
      <c r="E315" s="28">
        <f t="shared" si="41"/>
        <v>81</v>
      </c>
      <c r="F315" s="28">
        <v>600</v>
      </c>
      <c r="G315" s="28">
        <f>F315-F314</f>
        <v>520</v>
      </c>
      <c r="H315" s="28" t="s">
        <v>15</v>
      </c>
      <c r="I315" s="28"/>
      <c r="J315" s="3"/>
      <c r="K315" s="3" t="s">
        <v>29</v>
      </c>
    </row>
    <row r="316" spans="1:11" x14ac:dyDescent="0.2">
      <c r="A316" s="2">
        <f t="shared" si="43"/>
        <v>292</v>
      </c>
      <c r="B316" s="159" t="s">
        <v>644</v>
      </c>
      <c r="C316" s="158"/>
      <c r="D316" s="29" t="s">
        <v>14</v>
      </c>
      <c r="E316" s="28">
        <f>$F$16+1</f>
        <v>7</v>
      </c>
      <c r="F316" s="28">
        <f>G316+$F$16</f>
        <v>9</v>
      </c>
      <c r="G316" s="28">
        <v>3</v>
      </c>
      <c r="H316" s="28" t="s">
        <v>18</v>
      </c>
      <c r="I316" s="28"/>
      <c r="J316" s="3"/>
      <c r="K316" s="158" t="s">
        <v>645</v>
      </c>
    </row>
    <row r="317" spans="1:11" ht="15" x14ac:dyDescent="0.2">
      <c r="A317" s="2">
        <f t="shared" si="43"/>
        <v>293</v>
      </c>
      <c r="B317" s="10"/>
      <c r="C317" s="165" t="s">
        <v>267</v>
      </c>
      <c r="D317" s="55">
        <v>99</v>
      </c>
      <c r="E317" s="28">
        <f t="shared" ref="E317:E323" si="44">F316+1</f>
        <v>10</v>
      </c>
      <c r="F317" s="28">
        <f t="shared" ref="F317:F322" si="45">F316+G317</f>
        <v>12</v>
      </c>
      <c r="G317" s="18">
        <v>3</v>
      </c>
      <c r="H317" s="18" t="s">
        <v>18</v>
      </c>
      <c r="I317" s="28"/>
      <c r="J317" s="3"/>
      <c r="K317" s="3" t="s">
        <v>268</v>
      </c>
    </row>
    <row r="318" spans="1:11" ht="15" x14ac:dyDescent="0.2">
      <c r="A318" s="2">
        <f t="shared" si="43"/>
        <v>294</v>
      </c>
      <c r="B318" s="10"/>
      <c r="C318" s="30" t="s">
        <v>635</v>
      </c>
      <c r="D318" s="56">
        <v>314</v>
      </c>
      <c r="E318" s="28">
        <f t="shared" si="44"/>
        <v>13</v>
      </c>
      <c r="F318" s="28">
        <f t="shared" si="45"/>
        <v>27</v>
      </c>
      <c r="G318" s="35">
        <v>15</v>
      </c>
      <c r="H318" s="35" t="s">
        <v>18</v>
      </c>
      <c r="I318" s="35">
        <v>2</v>
      </c>
      <c r="J318" s="3"/>
      <c r="K318" s="3"/>
    </row>
    <row r="319" spans="1:11" ht="15" x14ac:dyDescent="0.2">
      <c r="A319" s="2">
        <f t="shared" si="43"/>
        <v>295</v>
      </c>
      <c r="B319" s="10"/>
      <c r="C319" s="30" t="s">
        <v>637</v>
      </c>
      <c r="D319" s="29">
        <v>315</v>
      </c>
      <c r="E319" s="28">
        <f t="shared" si="44"/>
        <v>28</v>
      </c>
      <c r="F319" s="28">
        <f t="shared" si="45"/>
        <v>32</v>
      </c>
      <c r="G319" s="35">
        <v>5</v>
      </c>
      <c r="H319" s="35" t="s">
        <v>18</v>
      </c>
      <c r="I319" s="35">
        <v>2</v>
      </c>
      <c r="J319" s="3"/>
      <c r="K319" s="3"/>
    </row>
    <row r="320" spans="1:11" ht="15" x14ac:dyDescent="0.2">
      <c r="A320" s="2">
        <f t="shared" si="43"/>
        <v>296</v>
      </c>
      <c r="B320" s="10"/>
      <c r="C320" s="30" t="s">
        <v>619</v>
      </c>
      <c r="D320" s="29">
        <v>316</v>
      </c>
      <c r="E320" s="28">
        <f t="shared" si="44"/>
        <v>33</v>
      </c>
      <c r="F320" s="28">
        <f t="shared" si="45"/>
        <v>48</v>
      </c>
      <c r="G320" s="35">
        <v>16</v>
      </c>
      <c r="H320" s="35" t="s">
        <v>18</v>
      </c>
      <c r="I320" s="35">
        <v>4</v>
      </c>
      <c r="J320" s="3"/>
      <c r="K320" s="3"/>
    </row>
    <row r="321" spans="1:11" ht="15" x14ac:dyDescent="0.2">
      <c r="A321" s="2">
        <f t="shared" si="43"/>
        <v>297</v>
      </c>
      <c r="B321" s="10"/>
      <c r="C321" s="30" t="s">
        <v>646</v>
      </c>
      <c r="D321" s="29">
        <v>317</v>
      </c>
      <c r="E321" s="28">
        <f t="shared" si="44"/>
        <v>49</v>
      </c>
      <c r="F321" s="28">
        <f t="shared" si="45"/>
        <v>63</v>
      </c>
      <c r="G321" s="35">
        <v>15</v>
      </c>
      <c r="H321" s="35" t="s">
        <v>18</v>
      </c>
      <c r="I321" s="35">
        <v>4</v>
      </c>
      <c r="J321" s="3"/>
      <c r="K321" s="3"/>
    </row>
    <row r="322" spans="1:11" ht="15" x14ac:dyDescent="0.2">
      <c r="A322" s="2">
        <f t="shared" si="43"/>
        <v>298</v>
      </c>
      <c r="B322" s="10"/>
      <c r="C322" s="30" t="s">
        <v>647</v>
      </c>
      <c r="D322" s="29">
        <v>318</v>
      </c>
      <c r="E322" s="28">
        <f t="shared" si="44"/>
        <v>64</v>
      </c>
      <c r="F322" s="28">
        <f t="shared" si="45"/>
        <v>78</v>
      </c>
      <c r="G322" s="35">
        <v>15</v>
      </c>
      <c r="H322" s="35" t="s">
        <v>18</v>
      </c>
      <c r="I322" s="35">
        <v>2</v>
      </c>
      <c r="J322" s="3"/>
      <c r="K322" s="3"/>
    </row>
    <row r="323" spans="1:11" x14ac:dyDescent="0.2">
      <c r="A323" s="2">
        <f t="shared" si="43"/>
        <v>299</v>
      </c>
      <c r="B323" s="10"/>
      <c r="C323" s="10" t="s">
        <v>28</v>
      </c>
      <c r="D323" s="29" t="s">
        <v>14</v>
      </c>
      <c r="E323" s="28">
        <f t="shared" si="44"/>
        <v>79</v>
      </c>
      <c r="F323" s="28">
        <v>600</v>
      </c>
      <c r="G323" s="28">
        <f>F323-F322</f>
        <v>522</v>
      </c>
      <c r="H323" s="28" t="s">
        <v>15</v>
      </c>
      <c r="I323" s="28"/>
      <c r="J323" s="3"/>
      <c r="K323" s="3" t="s">
        <v>29</v>
      </c>
    </row>
    <row r="324" spans="1:11" x14ac:dyDescent="0.2">
      <c r="A324" s="2">
        <f t="shared" si="43"/>
        <v>300</v>
      </c>
      <c r="B324" s="159" t="s">
        <v>651</v>
      </c>
      <c r="C324" s="158"/>
      <c r="D324" s="29" t="s">
        <v>14</v>
      </c>
      <c r="E324" s="28">
        <f>$F$16+1</f>
        <v>7</v>
      </c>
      <c r="F324" s="28">
        <f>G324+$F$16</f>
        <v>9</v>
      </c>
      <c r="G324" s="28">
        <v>3</v>
      </c>
      <c r="H324" s="28" t="s">
        <v>18</v>
      </c>
      <c r="I324" s="28"/>
      <c r="J324" s="3"/>
      <c r="K324" s="197" t="s">
        <v>652</v>
      </c>
    </row>
    <row r="325" spans="1:11" ht="15" x14ac:dyDescent="0.2">
      <c r="A325" s="2">
        <f t="shared" si="43"/>
        <v>301</v>
      </c>
      <c r="B325" s="10"/>
      <c r="C325" s="165" t="s">
        <v>267</v>
      </c>
      <c r="D325" s="55">
        <v>99</v>
      </c>
      <c r="E325" s="28">
        <f t="shared" ref="E325:E332" si="46">F324+1</f>
        <v>10</v>
      </c>
      <c r="F325" s="28">
        <f t="shared" ref="F325:F331" si="47">F324+G325</f>
        <v>12</v>
      </c>
      <c r="G325" s="18">
        <v>3</v>
      </c>
      <c r="H325" s="18" t="s">
        <v>18</v>
      </c>
      <c r="I325" s="28"/>
      <c r="J325" s="3"/>
      <c r="K325" s="3" t="s">
        <v>268</v>
      </c>
    </row>
    <row r="326" spans="1:11" ht="15" x14ac:dyDescent="0.2">
      <c r="A326" s="2">
        <f t="shared" si="43"/>
        <v>302</v>
      </c>
      <c r="B326" s="10"/>
      <c r="C326" s="30" t="s">
        <v>653</v>
      </c>
      <c r="D326" s="56">
        <v>320</v>
      </c>
      <c r="E326" s="28">
        <f t="shared" si="46"/>
        <v>13</v>
      </c>
      <c r="F326" s="28">
        <f t="shared" si="47"/>
        <v>27</v>
      </c>
      <c r="G326" s="35">
        <v>15</v>
      </c>
      <c r="H326" s="35" t="s">
        <v>18</v>
      </c>
      <c r="I326" s="35">
        <v>2</v>
      </c>
      <c r="J326" s="3"/>
      <c r="K326" s="3"/>
    </row>
    <row r="327" spans="1:11" ht="15" x14ac:dyDescent="0.2">
      <c r="A327" s="2">
        <f t="shared" si="43"/>
        <v>303</v>
      </c>
      <c r="B327" s="10"/>
      <c r="C327" s="30" t="s">
        <v>654</v>
      </c>
      <c r="D327" s="56">
        <v>321</v>
      </c>
      <c r="E327" s="28">
        <f t="shared" si="46"/>
        <v>28</v>
      </c>
      <c r="F327" s="28">
        <f t="shared" si="47"/>
        <v>32</v>
      </c>
      <c r="G327" s="35">
        <v>5</v>
      </c>
      <c r="H327" s="35" t="s">
        <v>18</v>
      </c>
      <c r="I327" s="35">
        <v>2</v>
      </c>
      <c r="J327" s="3"/>
      <c r="K327" s="3"/>
    </row>
    <row r="328" spans="1:11" ht="15" x14ac:dyDescent="0.2">
      <c r="A328" s="2">
        <f t="shared" si="43"/>
        <v>304</v>
      </c>
      <c r="B328" s="10"/>
      <c r="C328" s="30" t="s">
        <v>655</v>
      </c>
      <c r="D328" s="56">
        <v>322</v>
      </c>
      <c r="E328" s="28">
        <f t="shared" si="46"/>
        <v>33</v>
      </c>
      <c r="F328" s="28">
        <f t="shared" si="47"/>
        <v>47</v>
      </c>
      <c r="G328" s="35">
        <v>15</v>
      </c>
      <c r="H328" s="35" t="s">
        <v>18</v>
      </c>
      <c r="I328" s="35">
        <v>2</v>
      </c>
      <c r="J328" s="3"/>
      <c r="K328" s="3"/>
    </row>
    <row r="329" spans="1:11" ht="15" x14ac:dyDescent="0.2">
      <c r="A329" s="2">
        <f t="shared" si="43"/>
        <v>305</v>
      </c>
      <c r="B329" s="10"/>
      <c r="C329" s="30" t="s">
        <v>656</v>
      </c>
      <c r="D329" s="56">
        <v>323</v>
      </c>
      <c r="E329" s="28">
        <f t="shared" si="46"/>
        <v>48</v>
      </c>
      <c r="F329" s="28">
        <f t="shared" si="47"/>
        <v>54</v>
      </c>
      <c r="G329" s="35">
        <v>7</v>
      </c>
      <c r="H329" s="35" t="s">
        <v>18</v>
      </c>
      <c r="I329" s="35"/>
      <c r="J329" s="3"/>
      <c r="K329" s="3"/>
    </row>
    <row r="330" spans="1:11" ht="25.5" x14ac:dyDescent="0.2">
      <c r="A330" s="138">
        <f t="shared" si="43"/>
        <v>306</v>
      </c>
      <c r="B330" s="139"/>
      <c r="C330" s="142" t="s">
        <v>657</v>
      </c>
      <c r="D330" s="181">
        <v>324</v>
      </c>
      <c r="E330" s="69">
        <f t="shared" si="46"/>
        <v>55</v>
      </c>
      <c r="F330" s="69">
        <f t="shared" si="47"/>
        <v>59</v>
      </c>
      <c r="G330" s="184">
        <v>5</v>
      </c>
      <c r="H330" s="184" t="s">
        <v>15</v>
      </c>
      <c r="I330" s="184"/>
      <c r="J330" s="140"/>
      <c r="K330" s="140" t="s">
        <v>1383</v>
      </c>
    </row>
    <row r="331" spans="1:11" ht="89.25" x14ac:dyDescent="0.2">
      <c r="A331" s="138">
        <f t="shared" si="43"/>
        <v>307</v>
      </c>
      <c r="B331" s="139"/>
      <c r="C331" s="139" t="s">
        <v>1384</v>
      </c>
      <c r="D331" s="141" t="s">
        <v>660</v>
      </c>
      <c r="E331" s="69">
        <f t="shared" si="46"/>
        <v>60</v>
      </c>
      <c r="F331" s="69">
        <f t="shared" si="47"/>
        <v>60</v>
      </c>
      <c r="G331" s="184">
        <v>1</v>
      </c>
      <c r="H331" s="184" t="s">
        <v>15</v>
      </c>
      <c r="I331" s="69"/>
      <c r="J331" s="140"/>
      <c r="K331" s="140" t="s">
        <v>1385</v>
      </c>
    </row>
    <row r="332" spans="1:11" x14ac:dyDescent="0.2">
      <c r="A332" s="2">
        <f t="shared" si="43"/>
        <v>308</v>
      </c>
      <c r="B332" s="10"/>
      <c r="C332" s="10" t="s">
        <v>28</v>
      </c>
      <c r="D332" s="29" t="s">
        <v>14</v>
      </c>
      <c r="E332" s="28">
        <f t="shared" si="46"/>
        <v>61</v>
      </c>
      <c r="F332" s="28">
        <v>600</v>
      </c>
      <c r="G332" s="28">
        <f>F332-F331</f>
        <v>540</v>
      </c>
      <c r="H332" s="28" t="s">
        <v>15</v>
      </c>
      <c r="I332" s="28"/>
      <c r="J332" s="3"/>
      <c r="K332" s="3" t="s">
        <v>29</v>
      </c>
    </row>
    <row r="333" spans="1:11" x14ac:dyDescent="0.2">
      <c r="A333" s="2">
        <f t="shared" si="43"/>
        <v>309</v>
      </c>
      <c r="B333" s="159" t="s">
        <v>687</v>
      </c>
      <c r="C333" s="158"/>
      <c r="D333" s="29" t="s">
        <v>14</v>
      </c>
      <c r="E333" s="28">
        <f>$F$16+1</f>
        <v>7</v>
      </c>
      <c r="F333" s="28">
        <f>$F$16+G333</f>
        <v>9</v>
      </c>
      <c r="G333" s="28">
        <v>3</v>
      </c>
      <c r="H333" s="28" t="s">
        <v>18</v>
      </c>
      <c r="I333" s="28"/>
      <c r="J333" s="3"/>
      <c r="K333" s="197" t="s">
        <v>688</v>
      </c>
    </row>
    <row r="334" spans="1:11" ht="15" x14ac:dyDescent="0.2">
      <c r="A334" s="2">
        <f t="shared" si="43"/>
        <v>310</v>
      </c>
      <c r="B334" s="10"/>
      <c r="C334" s="165" t="s">
        <v>267</v>
      </c>
      <c r="D334" s="55">
        <v>99</v>
      </c>
      <c r="E334" s="28">
        <f>F333+1</f>
        <v>10</v>
      </c>
      <c r="F334" s="28">
        <f>F333+G334</f>
        <v>12</v>
      </c>
      <c r="G334" s="18">
        <v>3</v>
      </c>
      <c r="H334" s="18" t="s">
        <v>18</v>
      </c>
      <c r="I334" s="28"/>
      <c r="J334" s="3"/>
      <c r="K334" s="3" t="s">
        <v>268</v>
      </c>
    </row>
    <row r="335" spans="1:11" ht="25.5" x14ac:dyDescent="0.2">
      <c r="A335" s="2">
        <f t="shared" si="43"/>
        <v>311</v>
      </c>
      <c r="B335" s="10"/>
      <c r="C335" s="30" t="s">
        <v>689</v>
      </c>
      <c r="D335" s="56">
        <v>325</v>
      </c>
      <c r="E335" s="28">
        <f>F334+1</f>
        <v>13</v>
      </c>
      <c r="F335" s="28">
        <f>F334+G335</f>
        <v>512</v>
      </c>
      <c r="G335" s="35">
        <v>500</v>
      </c>
      <c r="H335" s="35" t="s">
        <v>15</v>
      </c>
      <c r="I335" s="35"/>
      <c r="J335" s="3"/>
      <c r="K335" s="3" t="s">
        <v>690</v>
      </c>
    </row>
    <row r="336" spans="1:11" x14ac:dyDescent="0.2">
      <c r="A336" s="2">
        <f t="shared" si="43"/>
        <v>312</v>
      </c>
      <c r="B336" s="10"/>
      <c r="C336" s="10" t="s">
        <v>28</v>
      </c>
      <c r="D336" s="29" t="s">
        <v>14</v>
      </c>
      <c r="E336" s="28">
        <f>F335+1</f>
        <v>513</v>
      </c>
      <c r="F336" s="28">
        <v>600</v>
      </c>
      <c r="G336" s="28">
        <f>F336-F335</f>
        <v>88</v>
      </c>
      <c r="H336" s="28" t="s">
        <v>15</v>
      </c>
      <c r="I336" s="28"/>
      <c r="J336" s="3"/>
      <c r="K336" s="3" t="s">
        <v>29</v>
      </c>
    </row>
    <row r="337" spans="1:11" x14ac:dyDescent="0.2">
      <c r="A337" s="2">
        <f>A332+1</f>
        <v>309</v>
      </c>
      <c r="B337" s="159" t="s">
        <v>691</v>
      </c>
      <c r="C337" s="158"/>
      <c r="D337" s="29" t="s">
        <v>14</v>
      </c>
      <c r="E337" s="28">
        <f>$F$16+1</f>
        <v>7</v>
      </c>
      <c r="F337" s="28">
        <f>G337+$F$16</f>
        <v>9</v>
      </c>
      <c r="G337" s="28">
        <v>3</v>
      </c>
      <c r="H337" s="28" t="s">
        <v>18</v>
      </c>
      <c r="I337" s="28"/>
      <c r="J337" s="3"/>
      <c r="K337" s="197" t="s">
        <v>688</v>
      </c>
    </row>
    <row r="338" spans="1:11" ht="15" x14ac:dyDescent="0.2">
      <c r="A338" s="2">
        <f t="shared" ref="A338:A357" si="48">A337+1</f>
        <v>310</v>
      </c>
      <c r="B338" s="10"/>
      <c r="C338" s="165" t="s">
        <v>267</v>
      </c>
      <c r="D338" s="55">
        <v>99</v>
      </c>
      <c r="E338" s="28">
        <f>F337+1</f>
        <v>10</v>
      </c>
      <c r="F338" s="28">
        <f>F337+G338</f>
        <v>12</v>
      </c>
      <c r="G338" s="18">
        <v>3</v>
      </c>
      <c r="H338" s="18" t="s">
        <v>18</v>
      </c>
      <c r="I338" s="28"/>
      <c r="J338" s="3"/>
      <c r="K338" s="3" t="s">
        <v>268</v>
      </c>
    </row>
    <row r="339" spans="1:11" ht="15" x14ac:dyDescent="0.2">
      <c r="A339" s="2">
        <f t="shared" si="48"/>
        <v>311</v>
      </c>
      <c r="B339" s="10"/>
      <c r="C339" s="30" t="s">
        <v>693</v>
      </c>
      <c r="D339" s="56">
        <v>325</v>
      </c>
      <c r="E339" s="28"/>
      <c r="F339" s="28"/>
      <c r="G339" s="35"/>
      <c r="H339" s="35"/>
      <c r="I339" s="35"/>
      <c r="J339" s="3"/>
      <c r="K339" s="3" t="s">
        <v>694</v>
      </c>
    </row>
    <row r="340" spans="1:11" ht="15" x14ac:dyDescent="0.2">
      <c r="A340" s="2">
        <f t="shared" si="48"/>
        <v>312</v>
      </c>
      <c r="B340" s="37"/>
      <c r="C340" s="30" t="s">
        <v>695</v>
      </c>
      <c r="D340" s="56" t="s">
        <v>696</v>
      </c>
      <c r="E340" s="28">
        <f>F338+1</f>
        <v>13</v>
      </c>
      <c r="F340" s="28">
        <f>F338+G340</f>
        <v>15</v>
      </c>
      <c r="G340" s="35">
        <v>3</v>
      </c>
      <c r="H340" s="35" t="s">
        <v>15</v>
      </c>
      <c r="I340" s="35"/>
      <c r="J340" s="3"/>
      <c r="K340" s="3" t="s">
        <v>697</v>
      </c>
    </row>
    <row r="341" spans="1:11" ht="15" x14ac:dyDescent="0.2">
      <c r="A341" s="2">
        <f t="shared" si="48"/>
        <v>313</v>
      </c>
      <c r="B341" s="37"/>
      <c r="C341" s="30" t="s">
        <v>698</v>
      </c>
      <c r="D341" s="56" t="s">
        <v>696</v>
      </c>
      <c r="E341" s="28">
        <f t="shared" ref="E341:E366" si="49">F340+1</f>
        <v>16</v>
      </c>
      <c r="F341" s="28">
        <f t="shared" ref="F341:F366" si="50">F340+G341</f>
        <v>17</v>
      </c>
      <c r="G341" s="35">
        <v>2</v>
      </c>
      <c r="H341" s="35" t="s">
        <v>15</v>
      </c>
      <c r="I341" s="35"/>
      <c r="J341" s="3"/>
      <c r="K341" s="3" t="s">
        <v>699</v>
      </c>
    </row>
    <row r="342" spans="1:11" ht="15" x14ac:dyDescent="0.2">
      <c r="A342" s="2">
        <f t="shared" si="48"/>
        <v>314</v>
      </c>
      <c r="B342" s="37">
        <v>1</v>
      </c>
      <c r="C342" s="30" t="s">
        <v>700</v>
      </c>
      <c r="D342" s="56" t="s">
        <v>701</v>
      </c>
      <c r="E342" s="28">
        <f t="shared" si="49"/>
        <v>18</v>
      </c>
      <c r="F342" s="28">
        <f t="shared" si="50"/>
        <v>47</v>
      </c>
      <c r="G342" s="35">
        <v>30</v>
      </c>
      <c r="H342" s="35" t="s">
        <v>15</v>
      </c>
      <c r="I342" s="35"/>
      <c r="J342" s="3"/>
      <c r="K342" s="3"/>
    </row>
    <row r="343" spans="1:11" ht="15" x14ac:dyDescent="0.2">
      <c r="A343" s="2">
        <f t="shared" si="48"/>
        <v>315</v>
      </c>
      <c r="B343" s="37">
        <v>2</v>
      </c>
      <c r="C343" s="30" t="s">
        <v>702</v>
      </c>
      <c r="D343" s="56" t="s">
        <v>701</v>
      </c>
      <c r="E343" s="28">
        <f t="shared" si="49"/>
        <v>48</v>
      </c>
      <c r="F343" s="28">
        <f t="shared" si="50"/>
        <v>59</v>
      </c>
      <c r="G343" s="35">
        <v>12</v>
      </c>
      <c r="H343" s="35" t="s">
        <v>15</v>
      </c>
      <c r="I343" s="35"/>
      <c r="J343" s="3"/>
      <c r="K343" s="3"/>
    </row>
    <row r="344" spans="1:11" ht="15" x14ac:dyDescent="0.2">
      <c r="A344" s="2">
        <f t="shared" si="48"/>
        <v>316</v>
      </c>
      <c r="B344" s="37">
        <v>3</v>
      </c>
      <c r="C344" s="30" t="s">
        <v>703</v>
      </c>
      <c r="D344" s="56" t="s">
        <v>701</v>
      </c>
      <c r="E344" s="28">
        <f t="shared" si="49"/>
        <v>60</v>
      </c>
      <c r="F344" s="28">
        <f t="shared" si="50"/>
        <v>61</v>
      </c>
      <c r="G344" s="35">
        <v>2</v>
      </c>
      <c r="H344" s="35" t="s">
        <v>15</v>
      </c>
      <c r="I344" s="35"/>
      <c r="J344" s="3"/>
      <c r="K344" s="3"/>
    </row>
    <row r="345" spans="1:11" ht="15" x14ac:dyDescent="0.2">
      <c r="A345" s="2">
        <f t="shared" si="48"/>
        <v>317</v>
      </c>
      <c r="B345" s="37">
        <v>4</v>
      </c>
      <c r="C345" s="30" t="s">
        <v>704</v>
      </c>
      <c r="D345" s="56" t="s">
        <v>701</v>
      </c>
      <c r="E345" s="28">
        <f t="shared" si="49"/>
        <v>62</v>
      </c>
      <c r="F345" s="28">
        <f t="shared" si="50"/>
        <v>71</v>
      </c>
      <c r="G345" s="35">
        <v>10</v>
      </c>
      <c r="H345" s="35" t="s">
        <v>15</v>
      </c>
      <c r="I345" s="35"/>
      <c r="J345" s="3"/>
      <c r="K345" s="3"/>
    </row>
    <row r="346" spans="1:11" ht="15" x14ac:dyDescent="0.2">
      <c r="A346" s="2">
        <f t="shared" si="48"/>
        <v>318</v>
      </c>
      <c r="B346" s="37">
        <v>5</v>
      </c>
      <c r="C346" s="30" t="s">
        <v>705</v>
      </c>
      <c r="D346" s="56" t="s">
        <v>701</v>
      </c>
      <c r="E346" s="28">
        <f t="shared" si="49"/>
        <v>72</v>
      </c>
      <c r="F346" s="28">
        <f t="shared" si="50"/>
        <v>72</v>
      </c>
      <c r="G346" s="35">
        <v>1</v>
      </c>
      <c r="H346" s="35" t="s">
        <v>15</v>
      </c>
      <c r="I346" s="35"/>
      <c r="J346" s="3"/>
      <c r="K346" s="3"/>
    </row>
    <row r="347" spans="1:11" ht="15" x14ac:dyDescent="0.2">
      <c r="A347" s="2">
        <f t="shared" si="48"/>
        <v>319</v>
      </c>
      <c r="B347" s="37">
        <v>6</v>
      </c>
      <c r="C347" s="30" t="s">
        <v>706</v>
      </c>
      <c r="D347" s="56" t="s">
        <v>701</v>
      </c>
      <c r="E347" s="28">
        <f t="shared" si="49"/>
        <v>73</v>
      </c>
      <c r="F347" s="28">
        <f t="shared" si="50"/>
        <v>75</v>
      </c>
      <c r="G347" s="35">
        <v>3</v>
      </c>
      <c r="H347" s="35" t="s">
        <v>15</v>
      </c>
      <c r="I347" s="35"/>
      <c r="J347" s="3"/>
      <c r="K347" s="3"/>
    </row>
    <row r="348" spans="1:11" ht="15" x14ac:dyDescent="0.2">
      <c r="A348" s="2">
        <f t="shared" si="48"/>
        <v>320</v>
      </c>
      <c r="B348" s="37">
        <v>7</v>
      </c>
      <c r="C348" s="30" t="s">
        <v>707</v>
      </c>
      <c r="D348" s="56" t="s">
        <v>701</v>
      </c>
      <c r="E348" s="28">
        <f t="shared" si="49"/>
        <v>76</v>
      </c>
      <c r="F348" s="28">
        <f t="shared" si="50"/>
        <v>83</v>
      </c>
      <c r="G348" s="35">
        <v>8</v>
      </c>
      <c r="H348" s="35" t="s">
        <v>106</v>
      </c>
      <c r="I348" s="35"/>
      <c r="J348" s="3" t="s">
        <v>19</v>
      </c>
      <c r="K348" s="3"/>
    </row>
    <row r="349" spans="1:11" ht="15" x14ac:dyDescent="0.2">
      <c r="A349" s="2">
        <f t="shared" si="48"/>
        <v>321</v>
      </c>
      <c r="B349" s="37">
        <v>8</v>
      </c>
      <c r="C349" s="30" t="s">
        <v>708</v>
      </c>
      <c r="D349" s="56" t="s">
        <v>701</v>
      </c>
      <c r="E349" s="28">
        <f t="shared" si="49"/>
        <v>84</v>
      </c>
      <c r="F349" s="28">
        <f t="shared" si="50"/>
        <v>96</v>
      </c>
      <c r="G349" s="35">
        <v>13</v>
      </c>
      <c r="H349" s="35" t="s">
        <v>15</v>
      </c>
      <c r="I349" s="35"/>
      <c r="J349" s="3"/>
      <c r="K349" s="3"/>
    </row>
    <row r="350" spans="1:11" ht="15" x14ac:dyDescent="0.2">
      <c r="A350" s="2">
        <f t="shared" si="48"/>
        <v>322</v>
      </c>
      <c r="B350" s="37">
        <v>9</v>
      </c>
      <c r="C350" s="30" t="s">
        <v>709</v>
      </c>
      <c r="D350" s="56" t="s">
        <v>701</v>
      </c>
      <c r="E350" s="28">
        <f t="shared" si="49"/>
        <v>97</v>
      </c>
      <c r="F350" s="28">
        <f t="shared" si="50"/>
        <v>100</v>
      </c>
      <c r="G350" s="35">
        <v>4</v>
      </c>
      <c r="H350" s="35" t="s">
        <v>15</v>
      </c>
      <c r="I350" s="35"/>
      <c r="J350" s="3"/>
      <c r="K350" s="3"/>
    </row>
    <row r="351" spans="1:11" ht="15" x14ac:dyDescent="0.2">
      <c r="A351" s="2">
        <f t="shared" si="48"/>
        <v>323</v>
      </c>
      <c r="B351" s="37">
        <v>10</v>
      </c>
      <c r="C351" s="30" t="s">
        <v>710</v>
      </c>
      <c r="D351" s="56" t="s">
        <v>701</v>
      </c>
      <c r="E351" s="28">
        <f t="shared" si="49"/>
        <v>101</v>
      </c>
      <c r="F351" s="28">
        <f t="shared" si="50"/>
        <v>105</v>
      </c>
      <c r="G351" s="35">
        <v>5</v>
      </c>
      <c r="H351" s="35" t="s">
        <v>15</v>
      </c>
      <c r="I351" s="35"/>
      <c r="J351" s="3"/>
      <c r="K351" s="3" t="s">
        <v>711</v>
      </c>
    </row>
    <row r="352" spans="1:11" ht="15" x14ac:dyDescent="0.2">
      <c r="A352" s="2">
        <f t="shared" si="48"/>
        <v>324</v>
      </c>
      <c r="B352" s="37">
        <v>11</v>
      </c>
      <c r="C352" s="30" t="s">
        <v>712</v>
      </c>
      <c r="D352" s="56" t="s">
        <v>701</v>
      </c>
      <c r="E352" s="28">
        <f t="shared" si="49"/>
        <v>106</v>
      </c>
      <c r="F352" s="28">
        <f t="shared" si="50"/>
        <v>110</v>
      </c>
      <c r="G352" s="35">
        <v>5</v>
      </c>
      <c r="H352" s="35" t="s">
        <v>15</v>
      </c>
      <c r="I352" s="35"/>
      <c r="J352" s="3"/>
      <c r="K352" s="3" t="s">
        <v>711</v>
      </c>
    </row>
    <row r="353" spans="1:11" ht="15" x14ac:dyDescent="0.2">
      <c r="A353" s="2">
        <f t="shared" si="48"/>
        <v>325</v>
      </c>
      <c r="B353" s="37">
        <v>12</v>
      </c>
      <c r="C353" s="30" t="s">
        <v>713</v>
      </c>
      <c r="D353" s="56" t="s">
        <v>701</v>
      </c>
      <c r="E353" s="28">
        <f t="shared" si="49"/>
        <v>111</v>
      </c>
      <c r="F353" s="28">
        <f t="shared" si="50"/>
        <v>113</v>
      </c>
      <c r="G353" s="35">
        <v>3</v>
      </c>
      <c r="H353" s="35" t="s">
        <v>15</v>
      </c>
      <c r="I353" s="35"/>
      <c r="J353" s="3"/>
      <c r="K353" s="3" t="s">
        <v>714</v>
      </c>
    </row>
    <row r="354" spans="1:11" ht="15" x14ac:dyDescent="0.2">
      <c r="A354" s="2">
        <f t="shared" si="48"/>
        <v>326</v>
      </c>
      <c r="B354" s="37">
        <v>13</v>
      </c>
      <c r="C354" s="30" t="s">
        <v>715</v>
      </c>
      <c r="D354" s="56" t="s">
        <v>701</v>
      </c>
      <c r="E354" s="28">
        <f t="shared" si="49"/>
        <v>114</v>
      </c>
      <c r="F354" s="28">
        <f t="shared" si="50"/>
        <v>127</v>
      </c>
      <c r="G354" s="35">
        <v>14</v>
      </c>
      <c r="H354" s="35" t="s">
        <v>15</v>
      </c>
      <c r="I354" s="35"/>
      <c r="J354" s="3"/>
      <c r="K354" s="3"/>
    </row>
    <row r="355" spans="1:11" ht="15" x14ac:dyDescent="0.2">
      <c r="A355" s="2">
        <f t="shared" si="48"/>
        <v>327</v>
      </c>
      <c r="B355" s="37">
        <v>14</v>
      </c>
      <c r="C355" s="30" t="s">
        <v>716</v>
      </c>
      <c r="D355" s="56" t="s">
        <v>701</v>
      </c>
      <c r="E355" s="28">
        <f t="shared" si="49"/>
        <v>128</v>
      </c>
      <c r="F355" s="28">
        <f t="shared" si="50"/>
        <v>139</v>
      </c>
      <c r="G355" s="35">
        <v>12</v>
      </c>
      <c r="H355" s="35" t="s">
        <v>18</v>
      </c>
      <c r="I355" s="35"/>
      <c r="J355" s="3" t="s">
        <v>717</v>
      </c>
      <c r="K355" s="3"/>
    </row>
    <row r="356" spans="1:11" ht="15" x14ac:dyDescent="0.2">
      <c r="A356" s="2">
        <f t="shared" si="48"/>
        <v>328</v>
      </c>
      <c r="B356" s="37">
        <v>15</v>
      </c>
      <c r="C356" s="30" t="s">
        <v>718</v>
      </c>
      <c r="D356" s="56" t="s">
        <v>701</v>
      </c>
      <c r="E356" s="28">
        <f t="shared" si="49"/>
        <v>140</v>
      </c>
      <c r="F356" s="28">
        <f t="shared" si="50"/>
        <v>148</v>
      </c>
      <c r="G356" s="35">
        <v>9</v>
      </c>
      <c r="H356" s="35" t="s">
        <v>18</v>
      </c>
      <c r="I356" s="35"/>
      <c r="J356" s="3"/>
      <c r="K356" s="3"/>
    </row>
    <row r="357" spans="1:11" ht="15" x14ac:dyDescent="0.2">
      <c r="A357" s="2">
        <f t="shared" si="48"/>
        <v>329</v>
      </c>
      <c r="B357" s="37">
        <v>16</v>
      </c>
      <c r="C357" s="30" t="s">
        <v>719</v>
      </c>
      <c r="D357" s="56" t="s">
        <v>701</v>
      </c>
      <c r="E357" s="28">
        <f t="shared" si="49"/>
        <v>149</v>
      </c>
      <c r="F357" s="28">
        <f t="shared" si="50"/>
        <v>162</v>
      </c>
      <c r="G357" s="35">
        <v>14</v>
      </c>
      <c r="H357" s="35" t="s">
        <v>18</v>
      </c>
      <c r="I357" s="35">
        <v>4</v>
      </c>
      <c r="J357" s="38"/>
      <c r="K357" s="3" t="s">
        <v>720</v>
      </c>
    </row>
    <row r="358" spans="1:11" ht="15" x14ac:dyDescent="0.2">
      <c r="A358" s="2">
        <f>A366+1</f>
        <v>331</v>
      </c>
      <c r="B358" s="37">
        <v>18</v>
      </c>
      <c r="C358" s="30" t="s">
        <v>722</v>
      </c>
      <c r="D358" s="56" t="s">
        <v>701</v>
      </c>
      <c r="E358" s="28">
        <f t="shared" si="49"/>
        <v>163</v>
      </c>
      <c r="F358" s="28">
        <f t="shared" si="50"/>
        <v>177</v>
      </c>
      <c r="G358" s="35">
        <v>15</v>
      </c>
      <c r="H358" s="35" t="s">
        <v>15</v>
      </c>
      <c r="I358" s="35"/>
      <c r="J358" s="3"/>
      <c r="K358" s="3"/>
    </row>
    <row r="359" spans="1:11" ht="15" x14ac:dyDescent="0.2">
      <c r="A359" s="2">
        <f t="shared" ref="A359:A365" si="51">A358+1</f>
        <v>332</v>
      </c>
      <c r="B359" s="37">
        <v>19</v>
      </c>
      <c r="C359" s="30" t="s">
        <v>723</v>
      </c>
      <c r="D359" s="56" t="s">
        <v>701</v>
      </c>
      <c r="E359" s="28">
        <f t="shared" si="49"/>
        <v>178</v>
      </c>
      <c r="F359" s="28">
        <f t="shared" si="50"/>
        <v>181</v>
      </c>
      <c r="G359" s="35">
        <v>4</v>
      </c>
      <c r="H359" s="35" t="s">
        <v>15</v>
      </c>
      <c r="I359" s="35"/>
      <c r="J359" s="3"/>
      <c r="K359" s="3"/>
    </row>
    <row r="360" spans="1:11" ht="15" x14ac:dyDescent="0.2">
      <c r="A360" s="2">
        <f t="shared" si="51"/>
        <v>333</v>
      </c>
      <c r="B360" s="37">
        <v>20</v>
      </c>
      <c r="C360" s="30" t="s">
        <v>724</v>
      </c>
      <c r="D360" s="56" t="s">
        <v>701</v>
      </c>
      <c r="E360" s="28">
        <f t="shared" si="49"/>
        <v>182</v>
      </c>
      <c r="F360" s="28">
        <f t="shared" si="50"/>
        <v>197</v>
      </c>
      <c r="G360" s="35">
        <v>16</v>
      </c>
      <c r="H360" s="35" t="s">
        <v>15</v>
      </c>
      <c r="I360" s="35"/>
      <c r="J360" s="3"/>
      <c r="K360" s="3"/>
    </row>
    <row r="361" spans="1:11" ht="15" x14ac:dyDescent="0.2">
      <c r="A361" s="2">
        <f t="shared" si="51"/>
        <v>334</v>
      </c>
      <c r="B361" s="37">
        <v>21</v>
      </c>
      <c r="C361" s="30" t="s">
        <v>725</v>
      </c>
      <c r="D361" s="56" t="s">
        <v>701</v>
      </c>
      <c r="E361" s="28">
        <f t="shared" si="49"/>
        <v>198</v>
      </c>
      <c r="F361" s="28">
        <f t="shared" si="50"/>
        <v>200</v>
      </c>
      <c r="G361" s="35">
        <v>3</v>
      </c>
      <c r="H361" s="35" t="s">
        <v>15</v>
      </c>
      <c r="I361" s="35"/>
      <c r="J361" s="3"/>
      <c r="K361" s="3"/>
    </row>
    <row r="362" spans="1:11" ht="15" x14ac:dyDescent="0.2">
      <c r="A362" s="2">
        <f t="shared" si="51"/>
        <v>335</v>
      </c>
      <c r="B362" s="37">
        <v>22</v>
      </c>
      <c r="C362" s="30" t="s">
        <v>726</v>
      </c>
      <c r="D362" s="56" t="s">
        <v>701</v>
      </c>
      <c r="E362" s="28">
        <f t="shared" si="49"/>
        <v>201</v>
      </c>
      <c r="F362" s="28">
        <f t="shared" si="50"/>
        <v>209</v>
      </c>
      <c r="G362" s="35">
        <v>9</v>
      </c>
      <c r="H362" s="35" t="s">
        <v>15</v>
      </c>
      <c r="I362" s="35"/>
      <c r="J362" s="39">
        <v>1</v>
      </c>
      <c r="K362" s="3" t="s">
        <v>727</v>
      </c>
    </row>
    <row r="363" spans="1:11" ht="15" x14ac:dyDescent="0.2">
      <c r="A363" s="2">
        <f t="shared" si="51"/>
        <v>336</v>
      </c>
      <c r="B363" s="37">
        <v>23</v>
      </c>
      <c r="C363" s="30" t="s">
        <v>728</v>
      </c>
      <c r="D363" s="56" t="s">
        <v>701</v>
      </c>
      <c r="E363" s="28">
        <f t="shared" si="49"/>
        <v>210</v>
      </c>
      <c r="F363" s="28">
        <f t="shared" si="50"/>
        <v>213</v>
      </c>
      <c r="G363" s="35">
        <v>4</v>
      </c>
      <c r="H363" s="35" t="s">
        <v>15</v>
      </c>
      <c r="I363" s="35"/>
      <c r="J363" s="3"/>
      <c r="K363" s="3"/>
    </row>
    <row r="364" spans="1:11" ht="25.5" x14ac:dyDescent="0.2">
      <c r="A364" s="2">
        <f t="shared" si="51"/>
        <v>337</v>
      </c>
      <c r="B364" s="37">
        <v>24</v>
      </c>
      <c r="C364" s="30" t="s">
        <v>729</v>
      </c>
      <c r="D364" s="56" t="s">
        <v>701</v>
      </c>
      <c r="E364" s="28">
        <f t="shared" si="49"/>
        <v>214</v>
      </c>
      <c r="F364" s="28">
        <f t="shared" si="50"/>
        <v>243</v>
      </c>
      <c r="G364" s="35">
        <v>30</v>
      </c>
      <c r="H364" s="35" t="s">
        <v>15</v>
      </c>
      <c r="I364" s="35"/>
      <c r="J364" s="3"/>
      <c r="K364" s="3" t="s">
        <v>730</v>
      </c>
    </row>
    <row r="365" spans="1:11" ht="15" x14ac:dyDescent="0.2">
      <c r="A365" s="2">
        <f t="shared" si="51"/>
        <v>338</v>
      </c>
      <c r="B365" s="37">
        <v>25</v>
      </c>
      <c r="C365" s="30" t="s">
        <v>731</v>
      </c>
      <c r="D365" s="56" t="s">
        <v>701</v>
      </c>
      <c r="E365" s="28">
        <f t="shared" si="49"/>
        <v>244</v>
      </c>
      <c r="F365" s="28">
        <f t="shared" si="50"/>
        <v>253</v>
      </c>
      <c r="G365" s="35">
        <v>10</v>
      </c>
      <c r="H365" s="35" t="s">
        <v>15</v>
      </c>
      <c r="I365" s="35"/>
      <c r="J365" s="3"/>
      <c r="K365" s="3"/>
    </row>
    <row r="366" spans="1:11" ht="15" x14ac:dyDescent="0.2">
      <c r="A366" s="2">
        <f>A357+1</f>
        <v>330</v>
      </c>
      <c r="B366" s="37">
        <v>17</v>
      </c>
      <c r="C366" s="30" t="s">
        <v>721</v>
      </c>
      <c r="D366" s="56" t="s">
        <v>701</v>
      </c>
      <c r="E366" s="28">
        <f t="shared" si="49"/>
        <v>254</v>
      </c>
      <c r="F366" s="28">
        <f t="shared" si="50"/>
        <v>260</v>
      </c>
      <c r="G366" s="35">
        <v>7</v>
      </c>
      <c r="H366" s="35" t="s">
        <v>15</v>
      </c>
      <c r="I366" s="35"/>
      <c r="J366" s="3"/>
      <c r="K366" s="3"/>
    </row>
    <row r="367" spans="1:11" ht="15" x14ac:dyDescent="0.2">
      <c r="A367" s="2">
        <f>A365+1</f>
        <v>339</v>
      </c>
      <c r="B367" s="10"/>
      <c r="C367" s="10" t="s">
        <v>28</v>
      </c>
      <c r="D367" s="29" t="s">
        <v>14</v>
      </c>
      <c r="E367" s="28">
        <f>F339+1</f>
        <v>1</v>
      </c>
      <c r="F367" s="28">
        <v>600</v>
      </c>
      <c r="G367" s="35">
        <f>F367-F366</f>
        <v>340</v>
      </c>
      <c r="H367" s="28" t="s">
        <v>15</v>
      </c>
      <c r="I367" s="28"/>
      <c r="J367" s="3"/>
      <c r="K367" s="3" t="s">
        <v>29</v>
      </c>
    </row>
    <row r="368" spans="1:11" ht="18.75" customHeight="1" x14ac:dyDescent="0.2">
      <c r="A368" s="2">
        <f t="shared" ref="A368:A399" si="52">A367+1</f>
        <v>340</v>
      </c>
      <c r="B368" s="159" t="s">
        <v>732</v>
      </c>
      <c r="C368" s="203"/>
      <c r="D368" s="29" t="s">
        <v>14</v>
      </c>
      <c r="E368" s="28">
        <f>$F$16+1</f>
        <v>7</v>
      </c>
      <c r="F368" s="28">
        <f>G368+$F$16</f>
        <v>9</v>
      </c>
      <c r="G368" s="28">
        <v>3</v>
      </c>
      <c r="H368" s="28" t="s">
        <v>18</v>
      </c>
      <c r="I368" s="28"/>
      <c r="J368" s="3"/>
      <c r="K368" s="158" t="s">
        <v>733</v>
      </c>
    </row>
    <row r="369" spans="1:11" ht="15" x14ac:dyDescent="0.2">
      <c r="A369" s="2">
        <f t="shared" si="52"/>
        <v>341</v>
      </c>
      <c r="B369" s="23"/>
      <c r="C369" s="202" t="s">
        <v>267</v>
      </c>
      <c r="D369" s="55">
        <v>99</v>
      </c>
      <c r="E369" s="28">
        <f>F368+1</f>
        <v>10</v>
      </c>
      <c r="F369" s="28">
        <f>F368+G369</f>
        <v>12</v>
      </c>
      <c r="G369" s="18">
        <v>3</v>
      </c>
      <c r="H369" s="18" t="s">
        <v>18</v>
      </c>
      <c r="I369" s="28"/>
      <c r="J369" s="3"/>
      <c r="K369" s="3" t="s">
        <v>268</v>
      </c>
    </row>
    <row r="370" spans="1:11" ht="38.25" x14ac:dyDescent="0.2">
      <c r="A370" s="2">
        <f t="shared" si="52"/>
        <v>342</v>
      </c>
      <c r="B370" s="10"/>
      <c r="C370" s="10" t="s">
        <v>476</v>
      </c>
      <c r="D370" s="29">
        <v>245.02</v>
      </c>
      <c r="E370" s="28">
        <f t="shared" ref="E370:E384" si="53">F369+1</f>
        <v>13</v>
      </c>
      <c r="F370" s="28">
        <f t="shared" ref="F370:F384" si="54">F369+G370</f>
        <v>13</v>
      </c>
      <c r="G370" s="18">
        <v>1</v>
      </c>
      <c r="H370" s="18" t="s">
        <v>18</v>
      </c>
      <c r="I370" s="18"/>
      <c r="J370" s="3"/>
      <c r="K370" s="3" t="s">
        <v>478</v>
      </c>
    </row>
    <row r="371" spans="1:11" ht="51" x14ac:dyDescent="0.2">
      <c r="A371" s="2">
        <f t="shared" si="52"/>
        <v>343</v>
      </c>
      <c r="B371" s="10"/>
      <c r="C371" s="10" t="s">
        <v>479</v>
      </c>
      <c r="D371" s="29">
        <v>245.04</v>
      </c>
      <c r="E371" s="28">
        <f t="shared" si="53"/>
        <v>14</v>
      </c>
      <c r="F371" s="28">
        <f t="shared" si="54"/>
        <v>14</v>
      </c>
      <c r="G371" s="18">
        <v>1</v>
      </c>
      <c r="H371" s="18" t="s">
        <v>18</v>
      </c>
      <c r="I371" s="18"/>
      <c r="J371" s="3"/>
      <c r="K371" s="3" t="s">
        <v>481</v>
      </c>
    </row>
    <row r="372" spans="1:11" ht="76.5" x14ac:dyDescent="0.2">
      <c r="A372" s="2">
        <f t="shared" si="52"/>
        <v>344</v>
      </c>
      <c r="B372" s="10"/>
      <c r="C372" s="10" t="s">
        <v>482</v>
      </c>
      <c r="D372" s="29">
        <v>245.09</v>
      </c>
      <c r="E372" s="28">
        <f t="shared" si="53"/>
        <v>15</v>
      </c>
      <c r="F372" s="28">
        <f t="shared" si="54"/>
        <v>15</v>
      </c>
      <c r="G372" s="18">
        <v>1</v>
      </c>
      <c r="H372" s="18" t="s">
        <v>18</v>
      </c>
      <c r="I372" s="18">
        <v>0</v>
      </c>
      <c r="J372" s="3"/>
      <c r="K372" s="3" t="s">
        <v>734</v>
      </c>
    </row>
    <row r="373" spans="1:11" ht="25.5" x14ac:dyDescent="0.2">
      <c r="A373" s="2">
        <f t="shared" si="52"/>
        <v>345</v>
      </c>
      <c r="B373" s="10"/>
      <c r="C373" s="10" t="s">
        <v>485</v>
      </c>
      <c r="D373" s="29" t="s">
        <v>735</v>
      </c>
      <c r="E373" s="28">
        <f t="shared" si="53"/>
        <v>16</v>
      </c>
      <c r="F373" s="28">
        <f t="shared" si="54"/>
        <v>17</v>
      </c>
      <c r="G373" s="18">
        <v>2</v>
      </c>
      <c r="H373" s="18" t="s">
        <v>18</v>
      </c>
      <c r="I373" s="18"/>
      <c r="J373" s="3"/>
      <c r="K373" s="3" t="s">
        <v>736</v>
      </c>
    </row>
    <row r="374" spans="1:11" x14ac:dyDescent="0.2">
      <c r="A374" s="2">
        <f t="shared" si="52"/>
        <v>346</v>
      </c>
      <c r="B374" s="23"/>
      <c r="C374" s="36" t="s">
        <v>488</v>
      </c>
      <c r="D374" s="29">
        <v>245.07</v>
      </c>
      <c r="E374" s="28">
        <f t="shared" si="53"/>
        <v>18</v>
      </c>
      <c r="F374" s="28">
        <f t="shared" si="54"/>
        <v>22</v>
      </c>
      <c r="G374" s="18">
        <v>5</v>
      </c>
      <c r="H374" s="18" t="s">
        <v>18</v>
      </c>
      <c r="I374" s="18">
        <v>2</v>
      </c>
      <c r="J374" s="3"/>
      <c r="K374" s="3"/>
    </row>
    <row r="375" spans="1:11" x14ac:dyDescent="0.2">
      <c r="A375" s="2">
        <f t="shared" si="52"/>
        <v>347</v>
      </c>
      <c r="B375" s="10"/>
      <c r="C375" s="148" t="s">
        <v>492</v>
      </c>
      <c r="D375" s="137">
        <v>245.13</v>
      </c>
      <c r="E375" s="28">
        <f t="shared" si="53"/>
        <v>23</v>
      </c>
      <c r="F375" s="28">
        <f t="shared" si="54"/>
        <v>27</v>
      </c>
      <c r="G375" s="18">
        <v>5</v>
      </c>
      <c r="H375" s="18" t="s">
        <v>18</v>
      </c>
      <c r="I375" s="18">
        <v>2</v>
      </c>
      <c r="J375" s="3"/>
      <c r="K375" s="3"/>
    </row>
    <row r="376" spans="1:11" x14ac:dyDescent="0.2">
      <c r="A376" s="2">
        <f t="shared" si="52"/>
        <v>348</v>
      </c>
      <c r="B376" s="10"/>
      <c r="C376" s="148" t="s">
        <v>495</v>
      </c>
      <c r="D376" s="137" t="s">
        <v>737</v>
      </c>
      <c r="E376" s="28">
        <f t="shared" si="53"/>
        <v>28</v>
      </c>
      <c r="F376" s="28">
        <f t="shared" si="54"/>
        <v>32</v>
      </c>
      <c r="G376" s="18">
        <v>5</v>
      </c>
      <c r="H376" s="18" t="s">
        <v>18</v>
      </c>
      <c r="I376" s="18">
        <v>2</v>
      </c>
      <c r="J376" s="3"/>
      <c r="K376" s="3"/>
    </row>
    <row r="377" spans="1:11" x14ac:dyDescent="0.2">
      <c r="A377" s="2">
        <f t="shared" si="52"/>
        <v>349</v>
      </c>
      <c r="B377" s="10"/>
      <c r="C377" s="3" t="s">
        <v>497</v>
      </c>
      <c r="D377" s="29">
        <v>245.06</v>
      </c>
      <c r="E377" s="28">
        <f t="shared" si="53"/>
        <v>33</v>
      </c>
      <c r="F377" s="28">
        <f t="shared" si="54"/>
        <v>37</v>
      </c>
      <c r="G377" s="18">
        <v>5</v>
      </c>
      <c r="H377" s="18" t="s">
        <v>18</v>
      </c>
      <c r="I377" s="18">
        <v>2</v>
      </c>
      <c r="J377" s="3"/>
      <c r="K377" s="3"/>
    </row>
    <row r="378" spans="1:11" x14ac:dyDescent="0.2">
      <c r="A378" s="2">
        <f t="shared" si="52"/>
        <v>350</v>
      </c>
      <c r="B378" s="23"/>
      <c r="C378" s="149" t="s">
        <v>738</v>
      </c>
      <c r="D378" s="137">
        <v>245.11</v>
      </c>
      <c r="E378" s="28">
        <f t="shared" si="53"/>
        <v>38</v>
      </c>
      <c r="F378" s="28">
        <f t="shared" si="54"/>
        <v>42</v>
      </c>
      <c r="G378" s="18">
        <v>5</v>
      </c>
      <c r="H378" s="18" t="s">
        <v>18</v>
      </c>
      <c r="I378" s="18">
        <v>2</v>
      </c>
      <c r="J378" s="3"/>
      <c r="K378" s="3"/>
    </row>
    <row r="379" spans="1:11" x14ac:dyDescent="0.2">
      <c r="A379" s="2">
        <f t="shared" si="52"/>
        <v>351</v>
      </c>
      <c r="B379" s="10"/>
      <c r="C379" s="10" t="s">
        <v>501</v>
      </c>
      <c r="D379" s="29">
        <v>245.05</v>
      </c>
      <c r="E379" s="28">
        <f t="shared" si="53"/>
        <v>43</v>
      </c>
      <c r="F379" s="28">
        <f t="shared" si="54"/>
        <v>57</v>
      </c>
      <c r="G379" s="18">
        <v>15</v>
      </c>
      <c r="H379" s="18" t="s">
        <v>18</v>
      </c>
      <c r="I379" s="18">
        <v>2</v>
      </c>
      <c r="J379" s="3"/>
      <c r="K379" s="3" t="s">
        <v>503</v>
      </c>
    </row>
    <row r="380" spans="1:11" x14ac:dyDescent="0.2">
      <c r="A380" s="2">
        <f t="shared" si="52"/>
        <v>352</v>
      </c>
      <c r="B380" s="10"/>
      <c r="C380" s="150" t="s">
        <v>504</v>
      </c>
      <c r="D380" s="137" t="s">
        <v>739</v>
      </c>
      <c r="E380" s="28">
        <f t="shared" si="53"/>
        <v>58</v>
      </c>
      <c r="F380" s="28">
        <f t="shared" si="54"/>
        <v>72</v>
      </c>
      <c r="G380" s="18">
        <v>15</v>
      </c>
      <c r="H380" s="18" t="s">
        <v>18</v>
      </c>
      <c r="I380" s="18">
        <v>2</v>
      </c>
      <c r="J380" s="3"/>
      <c r="K380" s="3"/>
    </row>
    <row r="381" spans="1:11" x14ac:dyDescent="0.2">
      <c r="A381" s="2">
        <f t="shared" si="52"/>
        <v>353</v>
      </c>
      <c r="B381" s="10"/>
      <c r="C381" s="10" t="s">
        <v>506</v>
      </c>
      <c r="D381" s="29" t="s">
        <v>740</v>
      </c>
      <c r="E381" s="28">
        <f t="shared" si="53"/>
        <v>73</v>
      </c>
      <c r="F381" s="28">
        <f t="shared" si="54"/>
        <v>87</v>
      </c>
      <c r="G381" s="18">
        <v>15</v>
      </c>
      <c r="H381" s="18" t="s">
        <v>18</v>
      </c>
      <c r="I381" s="18">
        <v>2</v>
      </c>
      <c r="J381" s="3"/>
      <c r="K381" s="3" t="s">
        <v>503</v>
      </c>
    </row>
    <row r="382" spans="1:11" x14ac:dyDescent="0.2">
      <c r="A382" s="2">
        <f t="shared" si="52"/>
        <v>354</v>
      </c>
      <c r="B382" s="10"/>
      <c r="C382" s="150" t="s">
        <v>508</v>
      </c>
      <c r="D382" s="137" t="s">
        <v>741</v>
      </c>
      <c r="E382" s="28">
        <f t="shared" si="53"/>
        <v>88</v>
      </c>
      <c r="F382" s="28">
        <f t="shared" si="54"/>
        <v>102</v>
      </c>
      <c r="G382" s="18">
        <v>15</v>
      </c>
      <c r="H382" s="18" t="s">
        <v>18</v>
      </c>
      <c r="I382" s="18">
        <v>2</v>
      </c>
      <c r="J382" s="3"/>
      <c r="K382" s="3"/>
    </row>
    <row r="383" spans="1:11" ht="25.5" x14ac:dyDescent="0.2">
      <c r="A383" s="2">
        <f t="shared" si="52"/>
        <v>355</v>
      </c>
      <c r="B383" s="27"/>
      <c r="C383" s="3" t="s">
        <v>742</v>
      </c>
      <c r="D383" s="29">
        <v>245.15</v>
      </c>
      <c r="E383" s="28">
        <f t="shared" si="53"/>
        <v>103</v>
      </c>
      <c r="F383" s="28">
        <f t="shared" si="54"/>
        <v>107</v>
      </c>
      <c r="G383" s="28">
        <v>5</v>
      </c>
      <c r="H383" s="28" t="s">
        <v>18</v>
      </c>
      <c r="I383" s="28">
        <v>2</v>
      </c>
      <c r="J383" s="3"/>
      <c r="K383" s="3" t="s">
        <v>743</v>
      </c>
    </row>
    <row r="384" spans="1:11" x14ac:dyDescent="0.2">
      <c r="A384" s="2">
        <f t="shared" si="52"/>
        <v>356</v>
      </c>
      <c r="B384" s="27"/>
      <c r="C384" s="3" t="s">
        <v>744</v>
      </c>
      <c r="D384" s="29">
        <v>245.16</v>
      </c>
      <c r="E384" s="28">
        <f t="shared" si="53"/>
        <v>108</v>
      </c>
      <c r="F384" s="28">
        <f t="shared" si="54"/>
        <v>109</v>
      </c>
      <c r="G384" s="28">
        <v>2</v>
      </c>
      <c r="H384" s="28" t="s">
        <v>15</v>
      </c>
      <c r="I384" s="28"/>
      <c r="J384" s="3"/>
      <c r="K384" s="3" t="s">
        <v>745</v>
      </c>
    </row>
    <row r="385" spans="1:11" x14ac:dyDescent="0.2">
      <c r="A385" s="2">
        <f t="shared" si="52"/>
        <v>357</v>
      </c>
      <c r="B385" s="10"/>
      <c r="C385" s="10" t="s">
        <v>28</v>
      </c>
      <c r="D385" s="29" t="s">
        <v>14</v>
      </c>
      <c r="E385" s="28">
        <f>F384+1</f>
        <v>110</v>
      </c>
      <c r="F385" s="28">
        <v>600</v>
      </c>
      <c r="G385" s="28">
        <f>F385-F384</f>
        <v>491</v>
      </c>
      <c r="H385" s="28" t="s">
        <v>15</v>
      </c>
      <c r="I385" s="28"/>
      <c r="J385" s="3"/>
      <c r="K385" s="3" t="s">
        <v>29</v>
      </c>
    </row>
    <row r="386" spans="1:11" ht="18.75" customHeight="1" x14ac:dyDescent="0.2">
      <c r="A386" s="2">
        <f t="shared" si="52"/>
        <v>358</v>
      </c>
      <c r="B386" s="159" t="s">
        <v>1386</v>
      </c>
      <c r="C386" s="203"/>
      <c r="D386" s="29" t="s">
        <v>14</v>
      </c>
      <c r="E386" s="28">
        <f>$F$16+1</f>
        <v>7</v>
      </c>
      <c r="F386" s="28">
        <f>G386+$F$16</f>
        <v>9</v>
      </c>
      <c r="G386" s="28">
        <v>3</v>
      </c>
      <c r="H386" s="28" t="s">
        <v>18</v>
      </c>
      <c r="I386" s="28"/>
      <c r="J386" s="3"/>
      <c r="K386" s="158" t="s">
        <v>753</v>
      </c>
    </row>
    <row r="387" spans="1:11" ht="15" x14ac:dyDescent="0.2">
      <c r="A387" s="2">
        <f t="shared" si="52"/>
        <v>359</v>
      </c>
      <c r="B387" s="23"/>
      <c r="C387" s="202" t="s">
        <v>267</v>
      </c>
      <c r="D387" s="55">
        <v>99</v>
      </c>
      <c r="E387" s="28">
        <f t="shared" ref="E387:E394" si="55">F386+1</f>
        <v>10</v>
      </c>
      <c r="F387" s="28">
        <f t="shared" ref="F387:F393" si="56">F386+G387</f>
        <v>12</v>
      </c>
      <c r="G387" s="18">
        <v>3</v>
      </c>
      <c r="H387" s="18" t="s">
        <v>18</v>
      </c>
      <c r="I387" s="28"/>
      <c r="J387" s="3"/>
      <c r="K387" s="3" t="s">
        <v>268</v>
      </c>
    </row>
    <row r="388" spans="1:11" ht="38.25" x14ac:dyDescent="0.2">
      <c r="A388" s="2">
        <f t="shared" si="52"/>
        <v>360</v>
      </c>
      <c r="B388" s="27"/>
      <c r="C388" s="10" t="s">
        <v>476</v>
      </c>
      <c r="D388" s="29" t="s">
        <v>754</v>
      </c>
      <c r="E388" s="28">
        <f t="shared" si="55"/>
        <v>13</v>
      </c>
      <c r="F388" s="28">
        <f t="shared" si="56"/>
        <v>13</v>
      </c>
      <c r="G388" s="18">
        <v>1</v>
      </c>
      <c r="H388" s="18" t="s">
        <v>18</v>
      </c>
      <c r="I388" s="18"/>
      <c r="J388" s="3"/>
      <c r="K388" s="3" t="s">
        <v>478</v>
      </c>
    </row>
    <row r="389" spans="1:11" x14ac:dyDescent="0.2">
      <c r="A389" s="2">
        <f t="shared" si="52"/>
        <v>361</v>
      </c>
      <c r="B389" s="27"/>
      <c r="C389" s="10" t="s">
        <v>485</v>
      </c>
      <c r="D389" s="29" t="s">
        <v>755</v>
      </c>
      <c r="E389" s="28">
        <f t="shared" si="55"/>
        <v>14</v>
      </c>
      <c r="F389" s="28">
        <f t="shared" si="56"/>
        <v>15</v>
      </c>
      <c r="G389" s="18">
        <v>2</v>
      </c>
      <c r="H389" s="18" t="s">
        <v>18</v>
      </c>
      <c r="I389" s="18"/>
      <c r="J389" s="3"/>
      <c r="K389" s="3" t="s">
        <v>1387</v>
      </c>
    </row>
    <row r="390" spans="1:11" ht="25.5" x14ac:dyDescent="0.2">
      <c r="A390" s="2">
        <f t="shared" si="52"/>
        <v>362</v>
      </c>
      <c r="B390" s="27"/>
      <c r="C390" s="3" t="s">
        <v>513</v>
      </c>
      <c r="D390" s="29" t="s">
        <v>757</v>
      </c>
      <c r="E390" s="28">
        <f t="shared" si="55"/>
        <v>16</v>
      </c>
      <c r="F390" s="28">
        <f t="shared" si="56"/>
        <v>30</v>
      </c>
      <c r="G390" s="28">
        <v>15</v>
      </c>
      <c r="H390" s="28" t="s">
        <v>18</v>
      </c>
      <c r="I390" s="28">
        <v>2</v>
      </c>
      <c r="J390" s="3"/>
      <c r="K390" s="3" t="s">
        <v>514</v>
      </c>
    </row>
    <row r="391" spans="1:11" ht="25.5" x14ac:dyDescent="0.2">
      <c r="A391" s="2">
        <f t="shared" si="52"/>
        <v>363</v>
      </c>
      <c r="B391" s="27"/>
      <c r="C391" s="3" t="s">
        <v>515</v>
      </c>
      <c r="D391" s="29" t="s">
        <v>758</v>
      </c>
      <c r="E391" s="28">
        <f t="shared" si="55"/>
        <v>31</v>
      </c>
      <c r="F391" s="28">
        <f t="shared" si="56"/>
        <v>45</v>
      </c>
      <c r="G391" s="28">
        <v>15</v>
      </c>
      <c r="H391" s="28" t="s">
        <v>18</v>
      </c>
      <c r="I391" s="28">
        <v>2</v>
      </c>
      <c r="J391" s="3"/>
      <c r="K391" s="3" t="s">
        <v>516</v>
      </c>
    </row>
    <row r="392" spans="1:11" x14ac:dyDescent="0.2">
      <c r="A392" s="2">
        <f t="shared" si="52"/>
        <v>364</v>
      </c>
      <c r="B392" s="27"/>
      <c r="C392" s="3" t="s">
        <v>759</v>
      </c>
      <c r="D392" s="29">
        <v>245.22</v>
      </c>
      <c r="E392" s="28">
        <f t="shared" si="55"/>
        <v>46</v>
      </c>
      <c r="F392" s="28">
        <f t="shared" si="56"/>
        <v>60</v>
      </c>
      <c r="G392" s="28">
        <v>15</v>
      </c>
      <c r="H392" s="28" t="s">
        <v>18</v>
      </c>
      <c r="I392" s="28">
        <v>2</v>
      </c>
      <c r="J392" s="3"/>
      <c r="K392" s="3" t="s">
        <v>760</v>
      </c>
    </row>
    <row r="393" spans="1:11" x14ac:dyDescent="0.2">
      <c r="A393" s="2">
        <f t="shared" si="52"/>
        <v>365</v>
      </c>
      <c r="B393" s="27"/>
      <c r="C393" s="3" t="s">
        <v>761</v>
      </c>
      <c r="D393" s="29">
        <v>245.23</v>
      </c>
      <c r="E393" s="28">
        <f t="shared" si="55"/>
        <v>61</v>
      </c>
      <c r="F393" s="28">
        <f t="shared" si="56"/>
        <v>75</v>
      </c>
      <c r="G393" s="28">
        <v>15</v>
      </c>
      <c r="H393" s="28" t="s">
        <v>18</v>
      </c>
      <c r="I393" s="28">
        <v>2</v>
      </c>
      <c r="J393" s="3"/>
      <c r="K393" s="3" t="s">
        <v>762</v>
      </c>
    </row>
    <row r="394" spans="1:11" x14ac:dyDescent="0.2">
      <c r="A394" s="2">
        <f t="shared" si="52"/>
        <v>366</v>
      </c>
      <c r="B394" s="10"/>
      <c r="C394" s="10" t="s">
        <v>28</v>
      </c>
      <c r="D394" s="29" t="s">
        <v>14</v>
      </c>
      <c r="E394" s="28">
        <f t="shared" si="55"/>
        <v>76</v>
      </c>
      <c r="F394" s="28">
        <v>600</v>
      </c>
      <c r="G394" s="28">
        <f>F394-E394</f>
        <v>524</v>
      </c>
      <c r="H394" s="28" t="s">
        <v>15</v>
      </c>
      <c r="I394" s="28"/>
      <c r="J394" s="3"/>
      <c r="K394" s="3" t="s">
        <v>29</v>
      </c>
    </row>
    <row r="395" spans="1:11" ht="18.75" customHeight="1" x14ac:dyDescent="0.2">
      <c r="A395" s="2">
        <f t="shared" si="52"/>
        <v>367</v>
      </c>
      <c r="B395" s="159" t="s">
        <v>763</v>
      </c>
      <c r="C395" s="203"/>
      <c r="D395" s="29" t="s">
        <v>14</v>
      </c>
      <c r="E395" s="28">
        <f>$F$16+1</f>
        <v>7</v>
      </c>
      <c r="F395" s="28">
        <f>G395+$F$16</f>
        <v>9</v>
      </c>
      <c r="G395" s="28">
        <v>3</v>
      </c>
      <c r="H395" s="28" t="s">
        <v>18</v>
      </c>
      <c r="I395" s="28"/>
      <c r="J395" s="3"/>
      <c r="K395" s="158" t="s">
        <v>753</v>
      </c>
    </row>
    <row r="396" spans="1:11" ht="15" x14ac:dyDescent="0.2">
      <c r="A396" s="2">
        <f t="shared" si="52"/>
        <v>368</v>
      </c>
      <c r="B396" s="23"/>
      <c r="C396" s="202" t="s">
        <v>267</v>
      </c>
      <c r="D396" s="55">
        <v>99</v>
      </c>
      <c r="E396" s="28">
        <f t="shared" ref="E396:E414" si="57">F395+1</f>
        <v>10</v>
      </c>
      <c r="F396" s="28">
        <f t="shared" ref="F396:F413" si="58">F395+G396</f>
        <v>12</v>
      </c>
      <c r="G396" s="18">
        <v>3</v>
      </c>
      <c r="H396" s="18" t="s">
        <v>18</v>
      </c>
      <c r="I396" s="28"/>
      <c r="J396" s="3"/>
      <c r="K396" s="3" t="s">
        <v>268</v>
      </c>
    </row>
    <row r="397" spans="1:11" ht="63.75" x14ac:dyDescent="0.2">
      <c r="A397" s="2">
        <f t="shared" si="52"/>
        <v>369</v>
      </c>
      <c r="B397" s="27"/>
      <c r="C397" s="10" t="s">
        <v>476</v>
      </c>
      <c r="D397" s="29" t="s">
        <v>764</v>
      </c>
      <c r="E397" s="28">
        <f t="shared" si="57"/>
        <v>13</v>
      </c>
      <c r="F397" s="28">
        <f t="shared" si="58"/>
        <v>13</v>
      </c>
      <c r="G397" s="18">
        <v>1</v>
      </c>
      <c r="H397" s="18" t="s">
        <v>18</v>
      </c>
      <c r="I397" s="18"/>
      <c r="J397" s="3"/>
      <c r="K397" s="3" t="s">
        <v>478</v>
      </c>
    </row>
    <row r="398" spans="1:11" ht="51" x14ac:dyDescent="0.2">
      <c r="A398" s="2">
        <f t="shared" si="52"/>
        <v>370</v>
      </c>
      <c r="B398" s="27"/>
      <c r="C398" s="10" t="s">
        <v>479</v>
      </c>
      <c r="D398" s="29" t="s">
        <v>765</v>
      </c>
      <c r="E398" s="28">
        <f t="shared" si="57"/>
        <v>14</v>
      </c>
      <c r="F398" s="28">
        <f t="shared" si="58"/>
        <v>14</v>
      </c>
      <c r="G398" s="18">
        <v>1</v>
      </c>
      <c r="H398" s="18" t="s">
        <v>18</v>
      </c>
      <c r="I398" s="18"/>
      <c r="J398" s="3"/>
      <c r="K398" s="3" t="s">
        <v>481</v>
      </c>
    </row>
    <row r="399" spans="1:11" ht="76.5" x14ac:dyDescent="0.2">
      <c r="A399" s="2">
        <f t="shared" si="52"/>
        <v>371</v>
      </c>
      <c r="B399" s="27"/>
      <c r="C399" s="10" t="s">
        <v>482</v>
      </c>
      <c r="D399" s="29" t="s">
        <v>766</v>
      </c>
      <c r="E399" s="28">
        <f t="shared" si="57"/>
        <v>15</v>
      </c>
      <c r="F399" s="28">
        <f t="shared" si="58"/>
        <v>15</v>
      </c>
      <c r="G399" s="18">
        <v>1</v>
      </c>
      <c r="H399" s="18" t="s">
        <v>18</v>
      </c>
      <c r="I399" s="18">
        <v>0</v>
      </c>
      <c r="J399" s="3"/>
      <c r="K399" s="3" t="s">
        <v>734</v>
      </c>
    </row>
    <row r="400" spans="1:11" ht="255" x14ac:dyDescent="0.2">
      <c r="A400" s="2">
        <f t="shared" ref="A400:A446" si="59">A399+1</f>
        <v>372</v>
      </c>
      <c r="B400" s="27"/>
      <c r="C400" s="10" t="s">
        <v>767</v>
      </c>
      <c r="D400" s="29" t="s">
        <v>768</v>
      </c>
      <c r="E400" s="28">
        <f t="shared" si="57"/>
        <v>16</v>
      </c>
      <c r="F400" s="28">
        <f t="shared" si="58"/>
        <v>18</v>
      </c>
      <c r="G400" s="18">
        <v>3</v>
      </c>
      <c r="H400" s="18" t="s">
        <v>18</v>
      </c>
      <c r="I400" s="18"/>
      <c r="J400" s="3"/>
      <c r="K400" s="3" t="s">
        <v>769</v>
      </c>
    </row>
    <row r="401" spans="1:11" x14ac:dyDescent="0.2">
      <c r="A401" s="2">
        <f t="shared" si="59"/>
        <v>373</v>
      </c>
      <c r="B401" s="61"/>
      <c r="C401" s="36" t="s">
        <v>488</v>
      </c>
      <c r="D401" s="29" t="s">
        <v>770</v>
      </c>
      <c r="E401" s="28">
        <f t="shared" si="57"/>
        <v>19</v>
      </c>
      <c r="F401" s="28">
        <f t="shared" si="58"/>
        <v>23</v>
      </c>
      <c r="G401" s="18">
        <v>5</v>
      </c>
      <c r="H401" s="18" t="s">
        <v>18</v>
      </c>
      <c r="I401" s="18">
        <v>2</v>
      </c>
      <c r="J401" s="3"/>
      <c r="K401" s="3"/>
    </row>
    <row r="402" spans="1:11" ht="38.25" x14ac:dyDescent="0.2">
      <c r="A402" s="2">
        <f t="shared" si="59"/>
        <v>374</v>
      </c>
      <c r="B402" s="27"/>
      <c r="C402" s="3" t="s">
        <v>492</v>
      </c>
      <c r="D402" s="29" t="s">
        <v>771</v>
      </c>
      <c r="E402" s="28">
        <f t="shared" si="57"/>
        <v>24</v>
      </c>
      <c r="F402" s="28">
        <f t="shared" si="58"/>
        <v>28</v>
      </c>
      <c r="G402" s="18">
        <v>5</v>
      </c>
      <c r="H402" s="18" t="s">
        <v>18</v>
      </c>
      <c r="I402" s="18">
        <v>2</v>
      </c>
      <c r="J402" s="3"/>
      <c r="K402" s="3"/>
    </row>
    <row r="403" spans="1:11" ht="51" x14ac:dyDescent="0.2">
      <c r="A403" s="2">
        <f t="shared" si="59"/>
        <v>375</v>
      </c>
      <c r="B403" s="27"/>
      <c r="C403" s="3" t="s">
        <v>495</v>
      </c>
      <c r="D403" s="29" t="s">
        <v>772</v>
      </c>
      <c r="E403" s="28">
        <f t="shared" si="57"/>
        <v>29</v>
      </c>
      <c r="F403" s="28">
        <f t="shared" si="58"/>
        <v>33</v>
      </c>
      <c r="G403" s="18">
        <v>5</v>
      </c>
      <c r="H403" s="18" t="s">
        <v>18</v>
      </c>
      <c r="I403" s="18">
        <v>2</v>
      </c>
      <c r="J403" s="3"/>
      <c r="K403" s="3"/>
    </row>
    <row r="404" spans="1:11" ht="81.75" customHeight="1" x14ac:dyDescent="0.2">
      <c r="A404" s="2">
        <f t="shared" si="59"/>
        <v>376</v>
      </c>
      <c r="B404" s="27"/>
      <c r="C404" s="3" t="s">
        <v>773</v>
      </c>
      <c r="D404" s="29" t="s">
        <v>774</v>
      </c>
      <c r="E404" s="28">
        <f t="shared" si="57"/>
        <v>34</v>
      </c>
      <c r="F404" s="28">
        <f t="shared" si="58"/>
        <v>38</v>
      </c>
      <c r="G404" s="18">
        <v>5</v>
      </c>
      <c r="H404" s="18" t="s">
        <v>18</v>
      </c>
      <c r="I404" s="18">
        <v>2</v>
      </c>
      <c r="J404" s="3"/>
      <c r="K404" s="3"/>
    </row>
    <row r="405" spans="1:11" ht="110.25" customHeight="1" x14ac:dyDescent="0.2">
      <c r="A405" s="2">
        <f t="shared" si="59"/>
        <v>377</v>
      </c>
      <c r="B405" s="61"/>
      <c r="C405" s="36" t="s">
        <v>499</v>
      </c>
      <c r="D405" s="29" t="s">
        <v>775</v>
      </c>
      <c r="E405" s="28">
        <f t="shared" si="57"/>
        <v>39</v>
      </c>
      <c r="F405" s="28">
        <f t="shared" si="58"/>
        <v>43</v>
      </c>
      <c r="G405" s="18">
        <v>5</v>
      </c>
      <c r="H405" s="18" t="s">
        <v>18</v>
      </c>
      <c r="I405" s="18">
        <v>2</v>
      </c>
      <c r="J405" s="3"/>
      <c r="K405" s="3"/>
    </row>
    <row r="406" spans="1:11" x14ac:dyDescent="0.2">
      <c r="A406" s="2">
        <f t="shared" si="59"/>
        <v>378</v>
      </c>
      <c r="B406" s="27"/>
      <c r="C406" s="10" t="s">
        <v>501</v>
      </c>
      <c r="D406" s="29" t="s">
        <v>776</v>
      </c>
      <c r="E406" s="28">
        <f t="shared" si="57"/>
        <v>44</v>
      </c>
      <c r="F406" s="28">
        <f t="shared" si="58"/>
        <v>58</v>
      </c>
      <c r="G406" s="18">
        <v>15</v>
      </c>
      <c r="H406" s="18" t="s">
        <v>18</v>
      </c>
      <c r="I406" s="18">
        <v>2</v>
      </c>
      <c r="J406" s="3"/>
      <c r="K406" s="3" t="s">
        <v>503</v>
      </c>
    </row>
    <row r="407" spans="1:11" ht="38.25" x14ac:dyDescent="0.2">
      <c r="A407" s="2">
        <f t="shared" si="59"/>
        <v>379</v>
      </c>
      <c r="B407" s="27"/>
      <c r="C407" s="10" t="s">
        <v>504</v>
      </c>
      <c r="D407" s="29" t="s">
        <v>1388</v>
      </c>
      <c r="E407" s="28">
        <f t="shared" si="57"/>
        <v>59</v>
      </c>
      <c r="F407" s="28">
        <f t="shared" si="58"/>
        <v>73</v>
      </c>
      <c r="G407" s="18">
        <v>15</v>
      </c>
      <c r="H407" s="18" t="s">
        <v>18</v>
      </c>
      <c r="I407" s="18">
        <v>2</v>
      </c>
      <c r="J407" s="3"/>
      <c r="K407" s="3"/>
    </row>
    <row r="408" spans="1:11" ht="25.5" x14ac:dyDescent="0.2">
      <c r="A408" s="2">
        <f t="shared" si="59"/>
        <v>380</v>
      </c>
      <c r="B408" s="27"/>
      <c r="C408" s="10" t="s">
        <v>506</v>
      </c>
      <c r="D408" s="29" t="s">
        <v>778</v>
      </c>
      <c r="E408" s="28">
        <f t="shared" si="57"/>
        <v>74</v>
      </c>
      <c r="F408" s="28">
        <f t="shared" si="58"/>
        <v>88</v>
      </c>
      <c r="G408" s="18">
        <v>15</v>
      </c>
      <c r="H408" s="18" t="s">
        <v>18</v>
      </c>
      <c r="I408" s="18">
        <v>2</v>
      </c>
      <c r="J408" s="3"/>
      <c r="K408" s="3" t="s">
        <v>503</v>
      </c>
    </row>
    <row r="409" spans="1:11" ht="25.5" x14ac:dyDescent="0.2">
      <c r="A409" s="2">
        <f t="shared" si="59"/>
        <v>381</v>
      </c>
      <c r="B409" s="27"/>
      <c r="C409" s="10" t="s">
        <v>508</v>
      </c>
      <c r="D409" s="29" t="s">
        <v>1389</v>
      </c>
      <c r="E409" s="28">
        <f t="shared" si="57"/>
        <v>89</v>
      </c>
      <c r="F409" s="28">
        <f t="shared" si="58"/>
        <v>103</v>
      </c>
      <c r="G409" s="18">
        <v>15</v>
      </c>
      <c r="H409" s="18" t="s">
        <v>18</v>
      </c>
      <c r="I409" s="18">
        <v>2</v>
      </c>
      <c r="J409" s="3"/>
      <c r="K409" s="3"/>
    </row>
    <row r="410" spans="1:11" ht="38.25" x14ac:dyDescent="0.2">
      <c r="A410" s="2">
        <f t="shared" si="59"/>
        <v>382</v>
      </c>
      <c r="B410" s="27"/>
      <c r="C410" s="3" t="s">
        <v>780</v>
      </c>
      <c r="D410" s="29" t="s">
        <v>1390</v>
      </c>
      <c r="E410" s="28">
        <f t="shared" si="57"/>
        <v>104</v>
      </c>
      <c r="F410" s="28">
        <f t="shared" si="58"/>
        <v>108</v>
      </c>
      <c r="G410" s="28">
        <v>5</v>
      </c>
      <c r="H410" s="28" t="s">
        <v>18</v>
      </c>
      <c r="I410" s="28">
        <v>2</v>
      </c>
      <c r="J410" s="3"/>
      <c r="K410" s="3"/>
    </row>
    <row r="411" spans="1:11" ht="38.25" x14ac:dyDescent="0.2">
      <c r="A411" s="2">
        <f t="shared" si="59"/>
        <v>383</v>
      </c>
      <c r="B411" s="27"/>
      <c r="C411" s="3" t="s">
        <v>782</v>
      </c>
      <c r="D411" s="29" t="s">
        <v>1391</v>
      </c>
      <c r="E411" s="28">
        <f t="shared" si="57"/>
        <v>109</v>
      </c>
      <c r="F411" s="28">
        <f t="shared" si="58"/>
        <v>123</v>
      </c>
      <c r="G411" s="28">
        <v>15</v>
      </c>
      <c r="H411" s="28" t="s">
        <v>18</v>
      </c>
      <c r="I411" s="28">
        <v>2</v>
      </c>
      <c r="J411" s="3"/>
      <c r="K411" s="3"/>
    </row>
    <row r="412" spans="1:11" x14ac:dyDescent="0.2">
      <c r="A412" s="2">
        <f t="shared" si="59"/>
        <v>384</v>
      </c>
      <c r="B412" s="27"/>
      <c r="C412" s="3" t="s">
        <v>784</v>
      </c>
      <c r="D412" s="29" t="s">
        <v>785</v>
      </c>
      <c r="E412" s="28">
        <f t="shared" si="57"/>
        <v>124</v>
      </c>
      <c r="F412" s="28">
        <f t="shared" si="58"/>
        <v>138</v>
      </c>
      <c r="G412" s="28">
        <v>15</v>
      </c>
      <c r="H412" s="28" t="s">
        <v>18</v>
      </c>
      <c r="I412" s="28">
        <v>2</v>
      </c>
      <c r="J412" s="3"/>
      <c r="K412" s="3"/>
    </row>
    <row r="413" spans="1:11" x14ac:dyDescent="0.2">
      <c r="A413" s="2">
        <f t="shared" si="59"/>
        <v>385</v>
      </c>
      <c r="B413" s="27"/>
      <c r="C413" s="3" t="s">
        <v>786</v>
      </c>
      <c r="D413" s="29" t="s">
        <v>787</v>
      </c>
      <c r="E413" s="28">
        <f t="shared" si="57"/>
        <v>139</v>
      </c>
      <c r="F413" s="28">
        <f t="shared" si="58"/>
        <v>153</v>
      </c>
      <c r="G413" s="28">
        <v>15</v>
      </c>
      <c r="H413" s="28" t="s">
        <v>18</v>
      </c>
      <c r="I413" s="28">
        <v>2</v>
      </c>
      <c r="J413" s="3"/>
      <c r="K413" s="3"/>
    </row>
    <row r="414" spans="1:11" x14ac:dyDescent="0.2">
      <c r="A414" s="2">
        <f t="shared" si="59"/>
        <v>386</v>
      </c>
      <c r="B414" s="10"/>
      <c r="C414" s="10" t="s">
        <v>28</v>
      </c>
      <c r="D414" s="29" t="s">
        <v>14</v>
      </c>
      <c r="E414" s="28">
        <f t="shared" si="57"/>
        <v>154</v>
      </c>
      <c r="F414" s="28">
        <v>600</v>
      </c>
      <c r="G414" s="28">
        <f>F414-F413</f>
        <v>447</v>
      </c>
      <c r="H414" s="28" t="s">
        <v>15</v>
      </c>
      <c r="I414" s="28"/>
      <c r="J414" s="3"/>
      <c r="K414" s="3" t="s">
        <v>29</v>
      </c>
    </row>
    <row r="415" spans="1:11" x14ac:dyDescent="0.2">
      <c r="A415" s="188">
        <v>383</v>
      </c>
      <c r="B415" s="189" t="s">
        <v>806</v>
      </c>
      <c r="C415" s="189"/>
      <c r="D415" s="190" t="s">
        <v>14</v>
      </c>
      <c r="E415" s="191">
        <f>$F$16+1</f>
        <v>7</v>
      </c>
      <c r="F415" s="191">
        <f>G415+$F$16</f>
        <v>9</v>
      </c>
      <c r="G415" s="191">
        <v>3</v>
      </c>
      <c r="H415" s="191" t="s">
        <v>18</v>
      </c>
      <c r="I415" s="191"/>
      <c r="J415" s="192"/>
      <c r="K415" s="192" t="s">
        <v>807</v>
      </c>
    </row>
    <row r="416" spans="1:11" ht="15" x14ac:dyDescent="0.2">
      <c r="A416" s="138">
        <v>384</v>
      </c>
      <c r="B416" s="139"/>
      <c r="C416" s="183" t="s">
        <v>267</v>
      </c>
      <c r="D416" s="178">
        <v>99</v>
      </c>
      <c r="E416" s="69">
        <f>F415+1</f>
        <v>10</v>
      </c>
      <c r="F416" s="69">
        <f>F415+G416</f>
        <v>12</v>
      </c>
      <c r="G416" s="68">
        <v>3</v>
      </c>
      <c r="H416" s="68" t="s">
        <v>18</v>
      </c>
      <c r="I416" s="69"/>
      <c r="J416" s="140"/>
      <c r="K416" s="140" t="s">
        <v>268</v>
      </c>
    </row>
    <row r="417" spans="1:11" x14ac:dyDescent="0.2">
      <c r="A417" s="138">
        <v>385</v>
      </c>
      <c r="B417" s="139"/>
      <c r="C417" s="139" t="s">
        <v>808</v>
      </c>
      <c r="D417" s="141" t="s">
        <v>809</v>
      </c>
      <c r="E417" s="69">
        <v>13</v>
      </c>
      <c r="F417" s="69">
        <v>23</v>
      </c>
      <c r="G417" s="69">
        <v>11</v>
      </c>
      <c r="H417" s="69" t="s">
        <v>18</v>
      </c>
      <c r="I417" s="69"/>
      <c r="J417" s="140"/>
      <c r="K417" s="140" t="s">
        <v>810</v>
      </c>
    </row>
    <row r="418" spans="1:11" x14ac:dyDescent="0.2">
      <c r="A418" s="138">
        <v>386</v>
      </c>
      <c r="B418" s="139"/>
      <c r="C418" s="139" t="s">
        <v>28</v>
      </c>
      <c r="D418" s="141" t="s">
        <v>14</v>
      </c>
      <c r="E418" s="69">
        <v>24</v>
      </c>
      <c r="F418" s="69">
        <v>577</v>
      </c>
      <c r="G418" s="69">
        <v>600</v>
      </c>
      <c r="H418" s="69" t="s">
        <v>15</v>
      </c>
      <c r="I418" s="69"/>
      <c r="J418" s="140"/>
      <c r="K418" s="140" t="s">
        <v>29</v>
      </c>
    </row>
    <row r="419" spans="1:11" x14ac:dyDescent="0.2">
      <c r="A419" s="188">
        <v>387</v>
      </c>
      <c r="B419" s="189" t="s">
        <v>811</v>
      </c>
      <c r="C419" s="189"/>
      <c r="D419" s="190" t="s">
        <v>14</v>
      </c>
      <c r="E419" s="191">
        <f>$F$16+1</f>
        <v>7</v>
      </c>
      <c r="F419" s="191">
        <f>G419+$F$16</f>
        <v>9</v>
      </c>
      <c r="G419" s="191">
        <v>3</v>
      </c>
      <c r="H419" s="191" t="s">
        <v>18</v>
      </c>
      <c r="I419" s="191"/>
      <c r="J419" s="192"/>
      <c r="K419" s="192" t="s">
        <v>812</v>
      </c>
    </row>
    <row r="420" spans="1:11" ht="15" x14ac:dyDescent="0.2">
      <c r="A420" s="138">
        <v>388</v>
      </c>
      <c r="B420" s="139"/>
      <c r="C420" s="183" t="s">
        <v>267</v>
      </c>
      <c r="D420" s="178">
        <v>99</v>
      </c>
      <c r="E420" s="69">
        <f>F419+1</f>
        <v>10</v>
      </c>
      <c r="F420" s="69">
        <f>F419+G420</f>
        <v>12</v>
      </c>
      <c r="G420" s="68">
        <v>3</v>
      </c>
      <c r="H420" s="68" t="s">
        <v>18</v>
      </c>
      <c r="I420" s="69"/>
      <c r="J420" s="140"/>
      <c r="K420" s="140" t="s">
        <v>268</v>
      </c>
    </row>
    <row r="421" spans="1:11" x14ac:dyDescent="0.2">
      <c r="A421" s="138">
        <v>389</v>
      </c>
      <c r="B421" s="139"/>
      <c r="C421" s="139" t="s">
        <v>813</v>
      </c>
      <c r="D421" s="141" t="s">
        <v>814</v>
      </c>
      <c r="E421" s="69">
        <v>13</v>
      </c>
      <c r="F421" s="69">
        <v>24</v>
      </c>
      <c r="G421" s="69">
        <v>12</v>
      </c>
      <c r="H421" s="69" t="s">
        <v>18</v>
      </c>
      <c r="I421" s="69"/>
      <c r="J421" s="140"/>
      <c r="K421" s="140" t="s">
        <v>810</v>
      </c>
    </row>
    <row r="422" spans="1:11" x14ac:dyDescent="0.2">
      <c r="A422" s="138">
        <v>390</v>
      </c>
      <c r="B422" s="139"/>
      <c r="C422" s="139" t="s">
        <v>815</v>
      </c>
      <c r="D422" s="141" t="s">
        <v>816</v>
      </c>
      <c r="E422" s="69">
        <v>25</v>
      </c>
      <c r="F422" s="69">
        <v>68</v>
      </c>
      <c r="G422" s="69">
        <v>44</v>
      </c>
      <c r="H422" s="69" t="s">
        <v>18</v>
      </c>
      <c r="I422" s="69"/>
      <c r="J422" s="140"/>
      <c r="K422" s="140" t="s">
        <v>817</v>
      </c>
    </row>
    <row r="423" spans="1:11" ht="25.5" x14ac:dyDescent="0.2">
      <c r="A423" s="138">
        <v>391</v>
      </c>
      <c r="B423" s="139"/>
      <c r="C423" s="139" t="s">
        <v>818</v>
      </c>
      <c r="D423" s="141" t="s">
        <v>819</v>
      </c>
      <c r="E423" s="69">
        <v>69</v>
      </c>
      <c r="F423" s="69">
        <v>83</v>
      </c>
      <c r="G423" s="69">
        <v>15</v>
      </c>
      <c r="H423" s="69" t="s">
        <v>18</v>
      </c>
      <c r="I423" s="69">
        <v>4</v>
      </c>
      <c r="J423" s="140"/>
      <c r="K423" s="140" t="s">
        <v>820</v>
      </c>
    </row>
    <row r="424" spans="1:11" x14ac:dyDescent="0.2">
      <c r="A424" s="138">
        <v>392</v>
      </c>
      <c r="B424" s="139"/>
      <c r="C424" s="139" t="s">
        <v>28</v>
      </c>
      <c r="D424" s="141" t="s">
        <v>14</v>
      </c>
      <c r="E424" s="69">
        <v>84</v>
      </c>
      <c r="F424" s="69">
        <v>517</v>
      </c>
      <c r="G424" s="69">
        <v>600</v>
      </c>
      <c r="H424" s="69" t="s">
        <v>15</v>
      </c>
      <c r="I424" s="69"/>
      <c r="J424" s="140"/>
      <c r="K424" s="140" t="s">
        <v>29</v>
      </c>
    </row>
    <row r="425" spans="1:11" x14ac:dyDescent="0.2">
      <c r="A425" s="188">
        <v>393</v>
      </c>
      <c r="B425" s="189" t="s">
        <v>821</v>
      </c>
      <c r="C425" s="189"/>
      <c r="D425" s="190" t="s">
        <v>14</v>
      </c>
      <c r="E425" s="191">
        <f>$F$16+1</f>
        <v>7</v>
      </c>
      <c r="F425" s="191">
        <f>G425+$F$16</f>
        <v>9</v>
      </c>
      <c r="G425" s="191">
        <v>3</v>
      </c>
      <c r="H425" s="191" t="s">
        <v>18</v>
      </c>
      <c r="I425" s="191"/>
      <c r="J425" s="192"/>
      <c r="K425" s="192" t="s">
        <v>822</v>
      </c>
    </row>
    <row r="426" spans="1:11" ht="15" x14ac:dyDescent="0.2">
      <c r="A426" s="138">
        <v>394</v>
      </c>
      <c r="B426" s="139"/>
      <c r="C426" s="183" t="s">
        <v>267</v>
      </c>
      <c r="D426" s="178">
        <v>99</v>
      </c>
      <c r="E426" s="69">
        <f>F425+1</f>
        <v>10</v>
      </c>
      <c r="F426" s="69">
        <f>F425+G426</f>
        <v>12</v>
      </c>
      <c r="G426" s="68">
        <v>3</v>
      </c>
      <c r="H426" s="68" t="s">
        <v>18</v>
      </c>
      <c r="I426" s="69"/>
      <c r="J426" s="140"/>
      <c r="K426" s="140" t="s">
        <v>268</v>
      </c>
    </row>
    <row r="427" spans="1:11" x14ac:dyDescent="0.2">
      <c r="A427" s="138">
        <v>395</v>
      </c>
      <c r="B427" s="139"/>
      <c r="C427" s="139" t="s">
        <v>823</v>
      </c>
      <c r="D427" s="141" t="s">
        <v>662</v>
      </c>
      <c r="E427" s="69">
        <v>13</v>
      </c>
      <c r="F427" s="69">
        <v>17</v>
      </c>
      <c r="G427" s="69">
        <v>5</v>
      </c>
      <c r="H427" s="69" t="s">
        <v>18</v>
      </c>
      <c r="I427" s="69">
        <v>2</v>
      </c>
      <c r="J427" s="140"/>
      <c r="K427" s="140"/>
    </row>
    <row r="428" spans="1:11" x14ac:dyDescent="0.2">
      <c r="A428" s="138">
        <v>396</v>
      </c>
      <c r="B428" s="139"/>
      <c r="C428" s="139" t="s">
        <v>826</v>
      </c>
      <c r="D428" s="141" t="s">
        <v>669</v>
      </c>
      <c r="E428" s="367" t="s">
        <v>828</v>
      </c>
      <c r="F428" s="368"/>
      <c r="G428" s="368"/>
      <c r="H428" s="368"/>
      <c r="I428" s="368"/>
      <c r="J428" s="368"/>
      <c r="K428" s="369"/>
    </row>
    <row r="429" spans="1:11" x14ac:dyDescent="0.2">
      <c r="A429" s="138">
        <v>397</v>
      </c>
      <c r="B429" s="139"/>
      <c r="C429" s="139" t="s">
        <v>829</v>
      </c>
      <c r="D429" s="141" t="s">
        <v>671</v>
      </c>
      <c r="E429" s="69">
        <v>18</v>
      </c>
      <c r="F429" s="69">
        <v>32</v>
      </c>
      <c r="G429" s="69">
        <v>15</v>
      </c>
      <c r="H429" s="69" t="s">
        <v>18</v>
      </c>
      <c r="I429" s="69">
        <v>2</v>
      </c>
      <c r="J429" s="140"/>
      <c r="K429" s="140"/>
    </row>
    <row r="430" spans="1:11" x14ac:dyDescent="0.2">
      <c r="A430" s="138">
        <v>398</v>
      </c>
      <c r="B430" s="139"/>
      <c r="C430" s="139" t="s">
        <v>28</v>
      </c>
      <c r="D430" s="141" t="s">
        <v>14</v>
      </c>
      <c r="E430" s="69">
        <v>33</v>
      </c>
      <c r="F430" s="69">
        <v>600</v>
      </c>
      <c r="G430" s="69">
        <f>F430-F429</f>
        <v>568</v>
      </c>
      <c r="H430" s="69" t="s">
        <v>15</v>
      </c>
      <c r="I430" s="69"/>
      <c r="J430" s="140"/>
      <c r="K430" s="140" t="s">
        <v>29</v>
      </c>
    </row>
    <row r="431" spans="1:11" x14ac:dyDescent="0.2">
      <c r="A431" s="2">
        <v>399</v>
      </c>
      <c r="B431" s="139" t="s">
        <v>1392</v>
      </c>
      <c r="C431" s="139"/>
      <c r="D431" s="29"/>
      <c r="E431" s="28"/>
      <c r="F431" s="28"/>
      <c r="G431" s="28"/>
      <c r="H431" s="28"/>
      <c r="I431" s="28"/>
      <c r="J431" s="3"/>
      <c r="K431" s="3"/>
    </row>
    <row r="432" spans="1:11" x14ac:dyDescent="0.2">
      <c r="A432" s="2">
        <f t="shared" si="59"/>
        <v>400</v>
      </c>
      <c r="B432" s="10"/>
      <c r="C432" s="10"/>
      <c r="D432" s="29"/>
      <c r="E432" s="28"/>
      <c r="F432" s="28"/>
      <c r="G432" s="28"/>
      <c r="H432" s="28"/>
      <c r="I432" s="28"/>
      <c r="J432" s="3"/>
      <c r="K432" s="3"/>
    </row>
    <row r="433" spans="1:11" x14ac:dyDescent="0.2">
      <c r="A433" s="2">
        <f t="shared" si="59"/>
        <v>401</v>
      </c>
      <c r="B433" s="159" t="s">
        <v>873</v>
      </c>
      <c r="C433" s="158"/>
      <c r="D433" s="29" t="s">
        <v>14</v>
      </c>
      <c r="E433" s="28">
        <f>$F$16+1</f>
        <v>7</v>
      </c>
      <c r="F433" s="28">
        <f>G433+$F$16</f>
        <v>9</v>
      </c>
      <c r="G433" s="28">
        <v>3</v>
      </c>
      <c r="H433" s="28" t="s">
        <v>18</v>
      </c>
      <c r="I433" s="28"/>
      <c r="J433" s="3"/>
      <c r="K433" s="197" t="s">
        <v>874</v>
      </c>
    </row>
    <row r="434" spans="1:11" ht="15" x14ac:dyDescent="0.2">
      <c r="A434" s="2">
        <f t="shared" si="59"/>
        <v>402</v>
      </c>
      <c r="B434" s="10"/>
      <c r="C434" s="30" t="s">
        <v>875</v>
      </c>
      <c r="D434" s="55">
        <v>328</v>
      </c>
      <c r="E434" s="28">
        <f t="shared" ref="E434:E447" si="60">F433+1</f>
        <v>10</v>
      </c>
      <c r="F434" s="28">
        <f t="shared" ref="F434:F448" si="61">F433+G434</f>
        <v>24</v>
      </c>
      <c r="G434" s="35">
        <v>15</v>
      </c>
      <c r="H434" s="28" t="s">
        <v>18</v>
      </c>
      <c r="I434" s="35">
        <v>2</v>
      </c>
      <c r="J434" s="3"/>
      <c r="K434" s="3"/>
    </row>
    <row r="435" spans="1:11" ht="15" x14ac:dyDescent="0.2">
      <c r="A435" s="2">
        <f t="shared" si="59"/>
        <v>403</v>
      </c>
      <c r="B435" s="10"/>
      <c r="C435" s="30" t="s">
        <v>506</v>
      </c>
      <c r="D435" s="55">
        <v>329</v>
      </c>
      <c r="E435" s="28">
        <f t="shared" si="60"/>
        <v>25</v>
      </c>
      <c r="F435" s="28">
        <f t="shared" si="61"/>
        <v>39</v>
      </c>
      <c r="G435" s="35">
        <v>15</v>
      </c>
      <c r="H435" s="28" t="s">
        <v>18</v>
      </c>
      <c r="I435" s="35">
        <v>2</v>
      </c>
      <c r="J435" s="3"/>
      <c r="K435" s="3"/>
    </row>
    <row r="436" spans="1:11" ht="15" x14ac:dyDescent="0.2">
      <c r="A436" s="2">
        <f t="shared" si="59"/>
        <v>404</v>
      </c>
      <c r="B436" s="10"/>
      <c r="C436" s="30" t="s">
        <v>876</v>
      </c>
      <c r="D436" s="55">
        <v>330</v>
      </c>
      <c r="E436" s="28">
        <f t="shared" si="60"/>
        <v>40</v>
      </c>
      <c r="F436" s="28">
        <f t="shared" si="61"/>
        <v>54</v>
      </c>
      <c r="G436" s="35">
        <v>15</v>
      </c>
      <c r="H436" s="28" t="s">
        <v>18</v>
      </c>
      <c r="I436" s="35">
        <v>2</v>
      </c>
      <c r="J436" s="3"/>
      <c r="K436" s="3"/>
    </row>
    <row r="437" spans="1:11" ht="15" x14ac:dyDescent="0.2">
      <c r="A437" s="2">
        <f t="shared" si="59"/>
        <v>405</v>
      </c>
      <c r="B437" s="10"/>
      <c r="C437" s="30" t="s">
        <v>877</v>
      </c>
      <c r="D437" s="55">
        <v>331</v>
      </c>
      <c r="E437" s="28">
        <f t="shared" si="60"/>
        <v>55</v>
      </c>
      <c r="F437" s="28">
        <f t="shared" si="61"/>
        <v>69</v>
      </c>
      <c r="G437" s="35">
        <v>15</v>
      </c>
      <c r="H437" s="28" t="s">
        <v>18</v>
      </c>
      <c r="I437" s="35">
        <v>2</v>
      </c>
      <c r="J437" s="3"/>
      <c r="K437" s="3"/>
    </row>
    <row r="438" spans="1:11" ht="15" x14ac:dyDescent="0.2">
      <c r="A438" s="2">
        <f t="shared" si="59"/>
        <v>406</v>
      </c>
      <c r="B438" s="10"/>
      <c r="C438" s="30" t="s">
        <v>878</v>
      </c>
      <c r="D438" s="55">
        <v>332</v>
      </c>
      <c r="E438" s="28">
        <f t="shared" si="60"/>
        <v>70</v>
      </c>
      <c r="F438" s="28">
        <f t="shared" si="61"/>
        <v>84</v>
      </c>
      <c r="G438" s="35">
        <v>15</v>
      </c>
      <c r="H438" s="28" t="s">
        <v>18</v>
      </c>
      <c r="I438" s="35">
        <v>2</v>
      </c>
      <c r="J438" s="3"/>
      <c r="K438" s="3"/>
    </row>
    <row r="439" spans="1:11" ht="15" x14ac:dyDescent="0.2">
      <c r="A439" s="2">
        <f t="shared" si="59"/>
        <v>407</v>
      </c>
      <c r="B439" s="10"/>
      <c r="C439" s="30" t="s">
        <v>879</v>
      </c>
      <c r="D439" s="55">
        <v>333</v>
      </c>
      <c r="E439" s="28">
        <f t="shared" si="60"/>
        <v>85</v>
      </c>
      <c r="F439" s="28">
        <f t="shared" si="61"/>
        <v>99</v>
      </c>
      <c r="G439" s="35">
        <v>15</v>
      </c>
      <c r="H439" s="28" t="s">
        <v>18</v>
      </c>
      <c r="I439" s="35">
        <v>2</v>
      </c>
      <c r="J439" s="3"/>
      <c r="K439" s="3"/>
    </row>
    <row r="440" spans="1:11" ht="15" x14ac:dyDescent="0.2">
      <c r="A440" s="2">
        <f t="shared" si="59"/>
        <v>408</v>
      </c>
      <c r="B440" s="10"/>
      <c r="C440" s="30" t="s">
        <v>296</v>
      </c>
      <c r="D440" s="55">
        <v>334</v>
      </c>
      <c r="E440" s="28">
        <f t="shared" si="60"/>
        <v>100</v>
      </c>
      <c r="F440" s="28">
        <f t="shared" si="61"/>
        <v>114</v>
      </c>
      <c r="G440" s="35">
        <v>15</v>
      </c>
      <c r="H440" s="28" t="s">
        <v>18</v>
      </c>
      <c r="I440" s="35">
        <v>2</v>
      </c>
      <c r="J440" s="3"/>
      <c r="K440" s="3"/>
    </row>
    <row r="441" spans="1:11" ht="15" x14ac:dyDescent="0.2">
      <c r="A441" s="2">
        <f t="shared" si="59"/>
        <v>409</v>
      </c>
      <c r="B441" s="10"/>
      <c r="C441" s="30" t="s">
        <v>880</v>
      </c>
      <c r="D441" s="55">
        <v>335</v>
      </c>
      <c r="E441" s="28">
        <f t="shared" si="60"/>
        <v>115</v>
      </c>
      <c r="F441" s="28">
        <f t="shared" si="61"/>
        <v>129</v>
      </c>
      <c r="G441" s="35">
        <v>15</v>
      </c>
      <c r="H441" s="28" t="s">
        <v>18</v>
      </c>
      <c r="I441" s="35">
        <v>2</v>
      </c>
      <c r="J441" s="3"/>
      <c r="K441" s="3"/>
    </row>
    <row r="442" spans="1:11" ht="15" x14ac:dyDescent="0.2">
      <c r="A442" s="2">
        <f t="shared" si="59"/>
        <v>410</v>
      </c>
      <c r="B442" s="10"/>
      <c r="C442" s="30" t="s">
        <v>881</v>
      </c>
      <c r="D442" s="55">
        <v>336</v>
      </c>
      <c r="E442" s="28">
        <f t="shared" si="60"/>
        <v>130</v>
      </c>
      <c r="F442" s="28">
        <f t="shared" si="61"/>
        <v>144</v>
      </c>
      <c r="G442" s="35">
        <v>15</v>
      </c>
      <c r="H442" s="28" t="s">
        <v>18</v>
      </c>
      <c r="I442" s="35">
        <v>2</v>
      </c>
      <c r="J442" s="3"/>
      <c r="K442" s="3"/>
    </row>
    <row r="443" spans="1:11" ht="15" x14ac:dyDescent="0.2">
      <c r="A443" s="2">
        <f t="shared" si="59"/>
        <v>411</v>
      </c>
      <c r="B443" s="10"/>
      <c r="C443" s="30" t="s">
        <v>603</v>
      </c>
      <c r="D443" s="55">
        <v>337</v>
      </c>
      <c r="E443" s="28">
        <f t="shared" si="60"/>
        <v>145</v>
      </c>
      <c r="F443" s="28">
        <f t="shared" si="61"/>
        <v>159</v>
      </c>
      <c r="G443" s="35">
        <v>15</v>
      </c>
      <c r="H443" s="28" t="s">
        <v>18</v>
      </c>
      <c r="I443" s="35">
        <v>2</v>
      </c>
      <c r="J443" s="3"/>
      <c r="K443" s="3"/>
    </row>
    <row r="444" spans="1:11" ht="15" x14ac:dyDescent="0.2">
      <c r="A444" s="2">
        <f t="shared" si="59"/>
        <v>412</v>
      </c>
      <c r="B444" s="10"/>
      <c r="C444" s="30" t="s">
        <v>623</v>
      </c>
      <c r="D444" s="55">
        <v>338</v>
      </c>
      <c r="E444" s="28">
        <f t="shared" si="60"/>
        <v>160</v>
      </c>
      <c r="F444" s="28">
        <f t="shared" si="61"/>
        <v>174</v>
      </c>
      <c r="G444" s="35">
        <v>15</v>
      </c>
      <c r="H444" s="28" t="s">
        <v>18</v>
      </c>
      <c r="I444" s="35">
        <v>2</v>
      </c>
      <c r="J444" s="3"/>
      <c r="K444" s="3"/>
    </row>
    <row r="445" spans="1:11" ht="15" x14ac:dyDescent="0.2">
      <c r="A445" s="2">
        <f t="shared" si="59"/>
        <v>413</v>
      </c>
      <c r="B445" s="10"/>
      <c r="C445" s="30" t="s">
        <v>882</v>
      </c>
      <c r="D445" s="55">
        <v>339</v>
      </c>
      <c r="E445" s="28">
        <f t="shared" si="60"/>
        <v>175</v>
      </c>
      <c r="F445" s="28">
        <f t="shared" si="61"/>
        <v>189</v>
      </c>
      <c r="G445" s="35">
        <v>15</v>
      </c>
      <c r="H445" s="28" t="s">
        <v>18</v>
      </c>
      <c r="I445" s="35">
        <v>2</v>
      </c>
      <c r="J445" s="3"/>
      <c r="K445" s="3"/>
    </row>
    <row r="446" spans="1:11" ht="15" x14ac:dyDescent="0.2">
      <c r="A446" s="2">
        <f t="shared" si="59"/>
        <v>414</v>
      </c>
      <c r="B446" s="10"/>
      <c r="C446" s="30" t="s">
        <v>883</v>
      </c>
      <c r="D446" s="55">
        <v>340</v>
      </c>
      <c r="E446" s="28">
        <f t="shared" si="60"/>
        <v>190</v>
      </c>
      <c r="F446" s="28">
        <f t="shared" si="61"/>
        <v>204</v>
      </c>
      <c r="G446" s="35">
        <v>15</v>
      </c>
      <c r="H446" s="28" t="s">
        <v>18</v>
      </c>
      <c r="I446" s="35">
        <v>2</v>
      </c>
      <c r="J446" s="3"/>
      <c r="K446" s="3"/>
    </row>
    <row r="447" spans="1:11" ht="15" x14ac:dyDescent="0.2">
      <c r="A447" s="2">
        <f t="shared" ref="A447:A496" si="62">A446+1</f>
        <v>415</v>
      </c>
      <c r="B447" s="10"/>
      <c r="C447" s="30" t="s">
        <v>884</v>
      </c>
      <c r="D447" s="55">
        <v>341</v>
      </c>
      <c r="E447" s="28">
        <f t="shared" si="60"/>
        <v>205</v>
      </c>
      <c r="F447" s="28">
        <f t="shared" si="61"/>
        <v>219</v>
      </c>
      <c r="G447" s="35">
        <v>15</v>
      </c>
      <c r="H447" s="28" t="s">
        <v>18</v>
      </c>
      <c r="I447" s="35">
        <v>2</v>
      </c>
      <c r="J447" s="3"/>
      <c r="K447" s="3"/>
    </row>
    <row r="448" spans="1:11" s="143" customFormat="1" ht="15" x14ac:dyDescent="0.2">
      <c r="A448" s="144">
        <f t="shared" si="62"/>
        <v>416</v>
      </c>
      <c r="B448" s="49"/>
      <c r="C448" s="152" t="s">
        <v>312</v>
      </c>
      <c r="D448" s="153" t="s">
        <v>14</v>
      </c>
      <c r="E448" s="146">
        <v>220</v>
      </c>
      <c r="F448" s="146">
        <f t="shared" si="61"/>
        <v>234</v>
      </c>
      <c r="G448" s="154">
        <v>15</v>
      </c>
      <c r="H448" s="146" t="s">
        <v>18</v>
      </c>
      <c r="I448" s="154">
        <v>2</v>
      </c>
      <c r="J448" s="48"/>
      <c r="K448" s="48"/>
    </row>
    <row r="449" spans="1:11" s="175" customFormat="1" ht="15" x14ac:dyDescent="0.2">
      <c r="A449" s="138">
        <v>417</v>
      </c>
      <c r="B449" s="139"/>
      <c r="C449" s="142" t="s">
        <v>888</v>
      </c>
      <c r="D449" s="141" t="s">
        <v>889</v>
      </c>
      <c r="E449" s="69">
        <v>235</v>
      </c>
      <c r="F449" s="69">
        <v>249</v>
      </c>
      <c r="G449" s="184">
        <v>15</v>
      </c>
      <c r="H449" s="69" t="s">
        <v>18</v>
      </c>
      <c r="I449" s="184">
        <v>2</v>
      </c>
      <c r="J449" s="140"/>
      <c r="K449" s="140"/>
    </row>
    <row r="450" spans="1:11" x14ac:dyDescent="0.2">
      <c r="A450" s="2">
        <v>418</v>
      </c>
      <c r="B450" s="10"/>
      <c r="C450" s="10" t="s">
        <v>28</v>
      </c>
      <c r="D450" s="29" t="s">
        <v>14</v>
      </c>
      <c r="E450" s="28">
        <v>250</v>
      </c>
      <c r="F450" s="28">
        <v>600</v>
      </c>
      <c r="G450" s="28">
        <f>F450-F449</f>
        <v>351</v>
      </c>
      <c r="H450" s="28" t="s">
        <v>15</v>
      </c>
      <c r="I450" s="28"/>
      <c r="J450" s="3"/>
      <c r="K450" s="3" t="s">
        <v>29</v>
      </c>
    </row>
    <row r="451" spans="1:11" x14ac:dyDescent="0.2">
      <c r="A451" s="2">
        <f t="shared" si="62"/>
        <v>419</v>
      </c>
      <c r="B451" s="159" t="s">
        <v>908</v>
      </c>
      <c r="C451" s="158"/>
      <c r="D451" s="29" t="s">
        <v>14</v>
      </c>
      <c r="E451" s="28">
        <f>$F$16+1</f>
        <v>7</v>
      </c>
      <c r="F451" s="28">
        <f>G451+$F$16</f>
        <v>9</v>
      </c>
      <c r="G451" s="28">
        <v>3</v>
      </c>
      <c r="H451" s="28" t="s">
        <v>18</v>
      </c>
      <c r="I451" s="28"/>
      <c r="J451" s="3"/>
      <c r="K451" s="197" t="s">
        <v>909</v>
      </c>
    </row>
    <row r="452" spans="1:11" ht="15" x14ac:dyDescent="0.2">
      <c r="A452" s="2">
        <f t="shared" si="62"/>
        <v>420</v>
      </c>
      <c r="B452" s="10"/>
      <c r="C452" s="30" t="s">
        <v>910</v>
      </c>
      <c r="D452" s="56">
        <v>343</v>
      </c>
      <c r="E452" s="28">
        <f t="shared" ref="E452:E456" si="63">F451+1</f>
        <v>10</v>
      </c>
      <c r="F452" s="28">
        <f>F451+G452</f>
        <v>24</v>
      </c>
      <c r="G452" s="35">
        <v>15</v>
      </c>
      <c r="H452" s="35" t="s">
        <v>18</v>
      </c>
      <c r="I452" s="35">
        <v>2</v>
      </c>
      <c r="J452" s="3"/>
      <c r="K452" s="3"/>
    </row>
    <row r="453" spans="1:11" ht="15" x14ac:dyDescent="0.2">
      <c r="A453" s="2">
        <f t="shared" si="62"/>
        <v>421</v>
      </c>
      <c r="B453" s="10"/>
      <c r="C453" s="30" t="s">
        <v>911</v>
      </c>
      <c r="D453" s="56">
        <v>344</v>
      </c>
      <c r="E453" s="28">
        <f t="shared" si="63"/>
        <v>25</v>
      </c>
      <c r="F453" s="28">
        <f>F452+G453</f>
        <v>39</v>
      </c>
      <c r="G453" s="35">
        <v>15</v>
      </c>
      <c r="H453" s="35" t="s">
        <v>18</v>
      </c>
      <c r="I453" s="35">
        <v>2</v>
      </c>
      <c r="J453" s="3"/>
      <c r="K453" s="3"/>
    </row>
    <row r="454" spans="1:11" ht="15" x14ac:dyDescent="0.2">
      <c r="A454" s="2">
        <f t="shared" si="62"/>
        <v>422</v>
      </c>
      <c r="B454" s="10"/>
      <c r="C454" s="30" t="s">
        <v>912</v>
      </c>
      <c r="D454" s="56">
        <v>345</v>
      </c>
      <c r="E454" s="28">
        <f t="shared" si="63"/>
        <v>40</v>
      </c>
      <c r="F454" s="28">
        <f>F453+G454</f>
        <v>54</v>
      </c>
      <c r="G454" s="35">
        <v>15</v>
      </c>
      <c r="H454" s="35" t="s">
        <v>18</v>
      </c>
      <c r="I454" s="35">
        <v>2</v>
      </c>
      <c r="J454" s="3"/>
      <c r="K454" s="3"/>
    </row>
    <row r="455" spans="1:11" ht="15" x14ac:dyDescent="0.2">
      <c r="A455" s="2">
        <f t="shared" si="62"/>
        <v>423</v>
      </c>
      <c r="B455" s="10"/>
      <c r="C455" s="30" t="s">
        <v>913</v>
      </c>
      <c r="D455" s="56">
        <v>346</v>
      </c>
      <c r="E455" s="28">
        <f t="shared" si="63"/>
        <v>55</v>
      </c>
      <c r="F455" s="28">
        <f>F454+G455</f>
        <v>69</v>
      </c>
      <c r="G455" s="35">
        <v>15</v>
      </c>
      <c r="H455" s="35" t="s">
        <v>18</v>
      </c>
      <c r="I455" s="35">
        <v>2</v>
      </c>
      <c r="J455" s="3"/>
      <c r="K455" s="3"/>
    </row>
    <row r="456" spans="1:11" ht="15" x14ac:dyDescent="0.2">
      <c r="A456" s="2">
        <f t="shared" si="62"/>
        <v>424</v>
      </c>
      <c r="B456" s="10"/>
      <c r="C456" s="30" t="s">
        <v>914</v>
      </c>
      <c r="D456" s="56">
        <v>347</v>
      </c>
      <c r="E456" s="28">
        <f t="shared" si="63"/>
        <v>70</v>
      </c>
      <c r="F456" s="28">
        <f>F455+G456</f>
        <v>84</v>
      </c>
      <c r="G456" s="35">
        <v>15</v>
      </c>
      <c r="H456" s="35" t="s">
        <v>18</v>
      </c>
      <c r="I456" s="35">
        <v>2</v>
      </c>
      <c r="J456" s="3"/>
      <c r="K456" s="3"/>
    </row>
    <row r="457" spans="1:11" ht="15" x14ac:dyDescent="0.2">
      <c r="A457" s="138">
        <v>425</v>
      </c>
      <c r="B457" s="139"/>
      <c r="C457" s="142" t="s">
        <v>915</v>
      </c>
      <c r="D457" s="181" t="s">
        <v>916</v>
      </c>
      <c r="E457" s="69">
        <v>85</v>
      </c>
      <c r="F457" s="69">
        <v>92</v>
      </c>
      <c r="G457" s="184">
        <v>8</v>
      </c>
      <c r="H457" s="184" t="s">
        <v>106</v>
      </c>
      <c r="I457" s="184"/>
      <c r="J457" s="140"/>
      <c r="K457" s="140" t="s">
        <v>917</v>
      </c>
    </row>
    <row r="458" spans="1:11" ht="15" x14ac:dyDescent="0.2">
      <c r="A458" s="138">
        <v>426</v>
      </c>
      <c r="B458" s="139"/>
      <c r="C458" s="142" t="s">
        <v>918</v>
      </c>
      <c r="D458" s="181" t="s">
        <v>919</v>
      </c>
      <c r="E458" s="69">
        <v>93</v>
      </c>
      <c r="F458" s="69">
        <v>107</v>
      </c>
      <c r="G458" s="184">
        <v>15</v>
      </c>
      <c r="H458" s="184" t="s">
        <v>18</v>
      </c>
      <c r="I458" s="184">
        <v>2</v>
      </c>
      <c r="J458" s="140"/>
      <c r="K458" s="140"/>
    </row>
    <row r="459" spans="1:11" ht="15" x14ac:dyDescent="0.2">
      <c r="A459" s="138">
        <v>427</v>
      </c>
      <c r="B459" s="139"/>
      <c r="C459" s="142" t="s">
        <v>1393</v>
      </c>
      <c r="D459" s="181" t="s">
        <v>921</v>
      </c>
      <c r="E459" s="69">
        <v>108</v>
      </c>
      <c r="F459" s="69">
        <v>122</v>
      </c>
      <c r="G459" s="184">
        <v>15</v>
      </c>
      <c r="H459" s="184" t="s">
        <v>18</v>
      </c>
      <c r="I459" s="184">
        <v>2</v>
      </c>
      <c r="J459" s="140"/>
      <c r="K459" s="140" t="s">
        <v>922</v>
      </c>
    </row>
    <row r="460" spans="1:11" ht="15" x14ac:dyDescent="0.2">
      <c r="A460" s="138">
        <v>428</v>
      </c>
      <c r="B460" s="139"/>
      <c r="C460" s="142" t="s">
        <v>1394</v>
      </c>
      <c r="D460" s="181" t="s">
        <v>924</v>
      </c>
      <c r="E460" s="69">
        <v>123</v>
      </c>
      <c r="F460" s="69">
        <v>137</v>
      </c>
      <c r="G460" s="184">
        <v>15</v>
      </c>
      <c r="H460" s="184" t="s">
        <v>18</v>
      </c>
      <c r="I460" s="184">
        <v>2</v>
      </c>
      <c r="J460" s="140"/>
      <c r="K460" s="140" t="s">
        <v>922</v>
      </c>
    </row>
    <row r="461" spans="1:11" ht="15" x14ac:dyDescent="0.2">
      <c r="A461" s="138">
        <v>429</v>
      </c>
      <c r="B461" s="139"/>
      <c r="C461" s="142" t="s">
        <v>1395</v>
      </c>
      <c r="D461" s="181" t="s">
        <v>926</v>
      </c>
      <c r="E461" s="69">
        <v>138</v>
      </c>
      <c r="F461" s="69">
        <v>152</v>
      </c>
      <c r="G461" s="184">
        <v>15</v>
      </c>
      <c r="H461" s="184" t="s">
        <v>18</v>
      </c>
      <c r="I461" s="184">
        <v>2</v>
      </c>
      <c r="J461" s="140"/>
      <c r="K461" s="140" t="s">
        <v>922</v>
      </c>
    </row>
    <row r="462" spans="1:11" ht="15" x14ac:dyDescent="0.2">
      <c r="A462" s="138">
        <v>430</v>
      </c>
      <c r="B462" s="139"/>
      <c r="C462" s="142" t="s">
        <v>661</v>
      </c>
      <c r="D462" s="181" t="s">
        <v>928</v>
      </c>
      <c r="E462" s="69">
        <v>153</v>
      </c>
      <c r="F462" s="69">
        <v>167</v>
      </c>
      <c r="G462" s="184">
        <v>15</v>
      </c>
      <c r="H462" s="184" t="s">
        <v>18</v>
      </c>
      <c r="I462" s="184">
        <v>2</v>
      </c>
      <c r="J462" s="140"/>
      <c r="K462" s="140" t="s">
        <v>922</v>
      </c>
    </row>
    <row r="463" spans="1:11" ht="15" x14ac:dyDescent="0.2">
      <c r="A463" s="138">
        <v>431</v>
      </c>
      <c r="B463" s="139"/>
      <c r="C463" s="142" t="s">
        <v>664</v>
      </c>
      <c r="D463" s="181" t="s">
        <v>930</v>
      </c>
      <c r="E463" s="69">
        <v>168</v>
      </c>
      <c r="F463" s="69">
        <v>182</v>
      </c>
      <c r="G463" s="184">
        <v>15</v>
      </c>
      <c r="H463" s="184" t="s">
        <v>18</v>
      </c>
      <c r="I463" s="184">
        <v>2</v>
      </c>
      <c r="J463" s="140"/>
      <c r="K463" s="140"/>
    </row>
    <row r="464" spans="1:11" ht="15" x14ac:dyDescent="0.2">
      <c r="A464" s="138">
        <v>432</v>
      </c>
      <c r="B464" s="139"/>
      <c r="C464" s="142" t="s">
        <v>666</v>
      </c>
      <c r="D464" s="181" t="s">
        <v>1396</v>
      </c>
      <c r="E464" s="69">
        <v>183</v>
      </c>
      <c r="F464" s="69">
        <v>197</v>
      </c>
      <c r="G464" s="184">
        <v>15</v>
      </c>
      <c r="H464" s="184" t="s">
        <v>18</v>
      </c>
      <c r="I464" s="184">
        <v>2</v>
      </c>
      <c r="J464" s="140"/>
      <c r="K464" s="140"/>
    </row>
    <row r="465" spans="1:11" ht="15" x14ac:dyDescent="0.2">
      <c r="A465" s="138">
        <v>433</v>
      </c>
      <c r="B465" s="139"/>
      <c r="C465" s="142" t="s">
        <v>1397</v>
      </c>
      <c r="D465" s="181" t="s">
        <v>1398</v>
      </c>
      <c r="E465" s="69">
        <v>198</v>
      </c>
      <c r="F465" s="69">
        <v>198</v>
      </c>
      <c r="G465" s="184">
        <v>1</v>
      </c>
      <c r="H465" s="184" t="s">
        <v>18</v>
      </c>
      <c r="I465" s="184"/>
      <c r="J465" s="140"/>
      <c r="K465" s="140" t="s">
        <v>1399</v>
      </c>
    </row>
    <row r="466" spans="1:11" ht="89.25" x14ac:dyDescent="0.2">
      <c r="A466" s="138">
        <v>434</v>
      </c>
      <c r="B466" s="139"/>
      <c r="C466" s="142" t="s">
        <v>670</v>
      </c>
      <c r="D466" s="181" t="s">
        <v>1400</v>
      </c>
      <c r="E466" s="69">
        <v>199</v>
      </c>
      <c r="F466" s="69">
        <v>200</v>
      </c>
      <c r="G466" s="184">
        <v>2</v>
      </c>
      <c r="H466" s="184" t="s">
        <v>18</v>
      </c>
      <c r="I466" s="184"/>
      <c r="J466" s="140"/>
      <c r="K466" s="140" t="s">
        <v>672</v>
      </c>
    </row>
    <row r="467" spans="1:11" ht="15" x14ac:dyDescent="0.2">
      <c r="A467" s="138">
        <v>435</v>
      </c>
      <c r="B467" s="139"/>
      <c r="C467" s="142" t="s">
        <v>1401</v>
      </c>
      <c r="D467" s="181" t="s">
        <v>1402</v>
      </c>
      <c r="E467" s="69">
        <v>201</v>
      </c>
      <c r="F467" s="69">
        <v>220</v>
      </c>
      <c r="G467" s="184">
        <v>20</v>
      </c>
      <c r="H467" s="184" t="s">
        <v>15</v>
      </c>
      <c r="I467" s="184"/>
      <c r="J467" s="140"/>
      <c r="K467" s="140"/>
    </row>
    <row r="468" spans="1:11" ht="25.5" x14ac:dyDescent="0.2">
      <c r="A468" s="138">
        <v>436</v>
      </c>
      <c r="B468" s="139"/>
      <c r="C468" s="142" t="s">
        <v>1403</v>
      </c>
      <c r="D468" s="181" t="s">
        <v>1404</v>
      </c>
      <c r="E468" s="69">
        <v>221</v>
      </c>
      <c r="F468" s="69">
        <v>227</v>
      </c>
      <c r="G468" s="184">
        <v>7</v>
      </c>
      <c r="H468" s="184" t="s">
        <v>18</v>
      </c>
      <c r="I468" s="184"/>
      <c r="J468" s="140"/>
      <c r="K468" s="140" t="s">
        <v>1405</v>
      </c>
    </row>
    <row r="469" spans="1:11" ht="25.5" x14ac:dyDescent="0.2">
      <c r="A469" s="138">
        <v>437</v>
      </c>
      <c r="B469" s="139"/>
      <c r="C469" s="142" t="s">
        <v>1406</v>
      </c>
      <c r="D469" s="181" t="s">
        <v>1407</v>
      </c>
      <c r="E469" s="69">
        <v>228</v>
      </c>
      <c r="F469" s="69">
        <v>231</v>
      </c>
      <c r="G469" s="184">
        <v>4</v>
      </c>
      <c r="H469" s="184" t="s">
        <v>18</v>
      </c>
      <c r="I469" s="184"/>
      <c r="J469" s="140"/>
      <c r="K469" s="140" t="s">
        <v>1408</v>
      </c>
    </row>
    <row r="470" spans="1:11" ht="25.5" x14ac:dyDescent="0.2">
      <c r="A470" s="138">
        <v>438</v>
      </c>
      <c r="B470" s="139"/>
      <c r="C470" s="142" t="s">
        <v>681</v>
      </c>
      <c r="D470" s="181" t="s">
        <v>1409</v>
      </c>
      <c r="E470" s="69">
        <v>232</v>
      </c>
      <c r="F470" s="69">
        <v>261</v>
      </c>
      <c r="G470" s="184">
        <v>30</v>
      </c>
      <c r="H470" s="184" t="s">
        <v>15</v>
      </c>
      <c r="I470" s="184"/>
      <c r="J470" s="140"/>
      <c r="K470" s="140" t="s">
        <v>1410</v>
      </c>
    </row>
    <row r="471" spans="1:11" ht="76.5" x14ac:dyDescent="0.2">
      <c r="A471" s="138">
        <v>439</v>
      </c>
      <c r="B471" s="139"/>
      <c r="C471" s="142" t="s">
        <v>1411</v>
      </c>
      <c r="D471" s="181" t="s">
        <v>1412</v>
      </c>
      <c r="E471" s="69">
        <v>262</v>
      </c>
      <c r="F471" s="69">
        <v>263</v>
      </c>
      <c r="G471" s="184">
        <v>2</v>
      </c>
      <c r="H471" s="184" t="s">
        <v>18</v>
      </c>
      <c r="I471" s="184"/>
      <c r="J471" s="140"/>
      <c r="K471" s="140" t="s">
        <v>1413</v>
      </c>
    </row>
    <row r="472" spans="1:11" ht="25.5" x14ac:dyDescent="0.2">
      <c r="A472" s="138">
        <v>440</v>
      </c>
      <c r="B472" s="139"/>
      <c r="C472" s="142" t="s">
        <v>1414</v>
      </c>
      <c r="D472" s="181" t="s">
        <v>1415</v>
      </c>
      <c r="E472" s="69">
        <v>264</v>
      </c>
      <c r="F472" s="69">
        <v>264</v>
      </c>
      <c r="G472" s="184">
        <v>1</v>
      </c>
      <c r="H472" s="184" t="s">
        <v>18</v>
      </c>
      <c r="I472" s="184"/>
      <c r="J472" s="140"/>
      <c r="K472" s="140" t="s">
        <v>686</v>
      </c>
    </row>
    <row r="473" spans="1:11" x14ac:dyDescent="0.2">
      <c r="A473" s="2">
        <v>441</v>
      </c>
      <c r="B473" s="10"/>
      <c r="C473" s="10" t="s">
        <v>28</v>
      </c>
      <c r="D473" s="29" t="s">
        <v>14</v>
      </c>
      <c r="E473" s="28">
        <v>265</v>
      </c>
      <c r="F473" s="28">
        <v>600</v>
      </c>
      <c r="G473" s="28">
        <f>F473-F472</f>
        <v>336</v>
      </c>
      <c r="H473" s="28" t="s">
        <v>15</v>
      </c>
      <c r="I473" s="28"/>
      <c r="J473" s="3"/>
      <c r="K473" s="3" t="s">
        <v>29</v>
      </c>
    </row>
    <row r="474" spans="1:11" x14ac:dyDescent="0.2">
      <c r="A474" s="2">
        <f t="shared" si="62"/>
        <v>442</v>
      </c>
      <c r="B474" s="159" t="s">
        <v>931</v>
      </c>
      <c r="C474" s="158"/>
      <c r="D474" s="29" t="s">
        <v>14</v>
      </c>
      <c r="E474" s="28">
        <f>$F$16+1</f>
        <v>7</v>
      </c>
      <c r="F474" s="28">
        <f>G474+$F$16</f>
        <v>9</v>
      </c>
      <c r="G474" s="28">
        <v>3</v>
      </c>
      <c r="H474" s="28" t="s">
        <v>18</v>
      </c>
      <c r="I474" s="28"/>
      <c r="J474" s="3"/>
      <c r="K474" s="158" t="s">
        <v>932</v>
      </c>
    </row>
    <row r="475" spans="1:11" ht="13.5" customHeight="1" x14ac:dyDescent="0.2">
      <c r="A475" s="2">
        <f t="shared" si="62"/>
        <v>443</v>
      </c>
      <c r="B475" s="10"/>
      <c r="C475" s="30" t="s">
        <v>933</v>
      </c>
      <c r="D475" s="56">
        <v>349</v>
      </c>
      <c r="E475" s="28">
        <f t="shared" ref="E475:E482" si="64">F474+1</f>
        <v>10</v>
      </c>
      <c r="F475" s="28">
        <f t="shared" ref="F475:F481" si="65">F474+G475</f>
        <v>24</v>
      </c>
      <c r="G475" s="35">
        <v>15</v>
      </c>
      <c r="H475" s="35" t="s">
        <v>18</v>
      </c>
      <c r="I475" s="35">
        <v>2</v>
      </c>
      <c r="J475" s="3"/>
      <c r="K475" s="3"/>
    </row>
    <row r="476" spans="1:11" ht="127.5" x14ac:dyDescent="0.2">
      <c r="A476" s="2">
        <f t="shared" si="62"/>
        <v>444</v>
      </c>
      <c r="B476" s="10"/>
      <c r="C476" s="30" t="s">
        <v>934</v>
      </c>
      <c r="D476" s="56">
        <v>350</v>
      </c>
      <c r="E476" s="28">
        <f t="shared" si="64"/>
        <v>25</v>
      </c>
      <c r="F476" s="28">
        <f t="shared" si="65"/>
        <v>39</v>
      </c>
      <c r="G476" s="35">
        <v>15</v>
      </c>
      <c r="H476" s="35" t="s">
        <v>18</v>
      </c>
      <c r="I476" s="35">
        <v>2</v>
      </c>
      <c r="J476" s="3"/>
      <c r="K476" s="3" t="s">
        <v>935</v>
      </c>
    </row>
    <row r="477" spans="1:11" ht="15" x14ac:dyDescent="0.2">
      <c r="A477" s="2">
        <f t="shared" si="62"/>
        <v>445</v>
      </c>
      <c r="B477" s="10"/>
      <c r="C477" s="30" t="s">
        <v>936</v>
      </c>
      <c r="D477" s="56">
        <v>351</v>
      </c>
      <c r="E477" s="28">
        <f t="shared" si="64"/>
        <v>40</v>
      </c>
      <c r="F477" s="28">
        <f t="shared" si="65"/>
        <v>54</v>
      </c>
      <c r="G477" s="35">
        <v>15</v>
      </c>
      <c r="H477" s="35" t="s">
        <v>18</v>
      </c>
      <c r="I477" s="35">
        <v>2</v>
      </c>
      <c r="J477" s="3"/>
      <c r="K477" s="3"/>
    </row>
    <row r="478" spans="1:11" ht="15" x14ac:dyDescent="0.2">
      <c r="A478" s="2">
        <f t="shared" si="62"/>
        <v>446</v>
      </c>
      <c r="B478" s="10"/>
      <c r="C478" s="30" t="s">
        <v>937</v>
      </c>
      <c r="D478" s="56">
        <v>352</v>
      </c>
      <c r="E478" s="28">
        <f t="shared" si="64"/>
        <v>55</v>
      </c>
      <c r="F478" s="28">
        <f t="shared" si="65"/>
        <v>69</v>
      </c>
      <c r="G478" s="35">
        <v>15</v>
      </c>
      <c r="H478" s="35" t="s">
        <v>18</v>
      </c>
      <c r="I478" s="35">
        <v>2</v>
      </c>
      <c r="J478" s="3"/>
      <c r="K478" s="3"/>
    </row>
    <row r="479" spans="1:11" ht="15" x14ac:dyDescent="0.2">
      <c r="A479" s="2">
        <f t="shared" si="62"/>
        <v>447</v>
      </c>
      <c r="B479" s="10"/>
      <c r="C479" s="30" t="s">
        <v>938</v>
      </c>
      <c r="D479" s="56">
        <v>353</v>
      </c>
      <c r="E479" s="28">
        <f t="shared" si="64"/>
        <v>70</v>
      </c>
      <c r="F479" s="28">
        <f t="shared" si="65"/>
        <v>84</v>
      </c>
      <c r="G479" s="35">
        <v>15</v>
      </c>
      <c r="H479" s="35" t="s">
        <v>18</v>
      </c>
      <c r="I479" s="35">
        <v>2</v>
      </c>
      <c r="J479" s="3"/>
      <c r="K479" s="3"/>
    </row>
    <row r="480" spans="1:11" ht="15" x14ac:dyDescent="0.2">
      <c r="A480" s="2">
        <f t="shared" si="62"/>
        <v>448</v>
      </c>
      <c r="B480" s="10"/>
      <c r="C480" s="30" t="s">
        <v>939</v>
      </c>
      <c r="D480" s="56">
        <v>354</v>
      </c>
      <c r="E480" s="28">
        <f t="shared" si="64"/>
        <v>85</v>
      </c>
      <c r="F480" s="28">
        <f t="shared" si="65"/>
        <v>99</v>
      </c>
      <c r="G480" s="35">
        <v>15</v>
      </c>
      <c r="H480" s="35" t="s">
        <v>18</v>
      </c>
      <c r="I480" s="35">
        <v>2</v>
      </c>
      <c r="J480" s="3"/>
      <c r="K480" s="3"/>
    </row>
    <row r="481" spans="1:11" ht="15" x14ac:dyDescent="0.2">
      <c r="A481" s="2">
        <f t="shared" si="62"/>
        <v>449</v>
      </c>
      <c r="B481" s="10"/>
      <c r="C481" s="30" t="s">
        <v>940</v>
      </c>
      <c r="D481" s="56">
        <v>355</v>
      </c>
      <c r="E481" s="28">
        <f t="shared" si="64"/>
        <v>100</v>
      </c>
      <c r="F481" s="28">
        <f t="shared" si="65"/>
        <v>114</v>
      </c>
      <c r="G481" s="35">
        <v>15</v>
      </c>
      <c r="H481" s="35" t="s">
        <v>18</v>
      </c>
      <c r="I481" s="35">
        <v>2</v>
      </c>
      <c r="J481" s="3"/>
      <c r="K481" s="3"/>
    </row>
    <row r="482" spans="1:11" x14ac:dyDescent="0.2">
      <c r="A482" s="2">
        <f t="shared" si="62"/>
        <v>450</v>
      </c>
      <c r="B482" s="10"/>
      <c r="C482" s="10" t="s">
        <v>28</v>
      </c>
      <c r="D482" s="29" t="s">
        <v>14</v>
      </c>
      <c r="E482" s="28">
        <f t="shared" si="64"/>
        <v>115</v>
      </c>
      <c r="F482" s="28">
        <v>600</v>
      </c>
      <c r="G482" s="28">
        <f>F482-F481</f>
        <v>486</v>
      </c>
      <c r="H482" s="28" t="s">
        <v>15</v>
      </c>
      <c r="I482" s="28"/>
      <c r="J482" s="3"/>
      <c r="K482" s="3" t="s">
        <v>29</v>
      </c>
    </row>
    <row r="483" spans="1:11" x14ac:dyDescent="0.2">
      <c r="A483" s="2">
        <f t="shared" si="62"/>
        <v>451</v>
      </c>
      <c r="B483" s="159" t="s">
        <v>941</v>
      </c>
      <c r="C483" s="159"/>
      <c r="D483" s="29" t="s">
        <v>14</v>
      </c>
      <c r="E483" s="28">
        <f>$F$16+1</f>
        <v>7</v>
      </c>
      <c r="F483" s="28">
        <f>G483+$F$16</f>
        <v>9</v>
      </c>
      <c r="G483" s="28">
        <v>3</v>
      </c>
      <c r="H483" s="28" t="s">
        <v>18</v>
      </c>
      <c r="I483" s="28"/>
      <c r="J483" s="3"/>
      <c r="K483" s="159" t="s">
        <v>942</v>
      </c>
    </row>
    <row r="484" spans="1:11" ht="51" x14ac:dyDescent="0.2">
      <c r="A484" s="2">
        <f t="shared" si="62"/>
        <v>452</v>
      </c>
      <c r="B484" s="10"/>
      <c r="C484" s="30" t="s">
        <v>943</v>
      </c>
      <c r="D484" s="55">
        <v>357</v>
      </c>
      <c r="E484" s="28">
        <f t="shared" ref="E484:E492" si="66">F483+1</f>
        <v>10</v>
      </c>
      <c r="F484" s="28">
        <f t="shared" ref="F484:F491" si="67">F483+G484</f>
        <v>10</v>
      </c>
      <c r="G484" s="18">
        <v>1</v>
      </c>
      <c r="H484" s="18" t="s">
        <v>18</v>
      </c>
      <c r="I484" s="35"/>
      <c r="J484" s="3"/>
      <c r="K484" s="3" t="s">
        <v>1416</v>
      </c>
    </row>
    <row r="485" spans="1:11" ht="15" x14ac:dyDescent="0.2">
      <c r="A485" s="2">
        <f t="shared" si="62"/>
        <v>453</v>
      </c>
      <c r="B485" s="10"/>
      <c r="C485" s="30" t="s">
        <v>945</v>
      </c>
      <c r="D485" s="55">
        <v>359</v>
      </c>
      <c r="E485" s="28">
        <f t="shared" si="66"/>
        <v>11</v>
      </c>
      <c r="F485" s="28">
        <f t="shared" si="67"/>
        <v>24</v>
      </c>
      <c r="G485" s="18">
        <v>14</v>
      </c>
      <c r="H485" s="18" t="s">
        <v>15</v>
      </c>
      <c r="I485" s="35"/>
      <c r="J485" s="3"/>
      <c r="K485" s="3"/>
    </row>
    <row r="486" spans="1:11" ht="15" x14ac:dyDescent="0.2">
      <c r="A486" s="2">
        <f t="shared" si="62"/>
        <v>454</v>
      </c>
      <c r="B486" s="10"/>
      <c r="C486" s="30" t="s">
        <v>946</v>
      </c>
      <c r="D486" s="55">
        <v>360</v>
      </c>
      <c r="E486" s="28">
        <f t="shared" si="66"/>
        <v>25</v>
      </c>
      <c r="F486" s="28">
        <f t="shared" si="67"/>
        <v>35</v>
      </c>
      <c r="G486" s="18">
        <v>11</v>
      </c>
      <c r="H486" s="18" t="s">
        <v>15</v>
      </c>
      <c r="I486" s="35"/>
      <c r="J486" s="3"/>
      <c r="K486" s="3"/>
    </row>
    <row r="487" spans="1:11" ht="15" x14ac:dyDescent="0.2">
      <c r="A487" s="2">
        <f t="shared" si="62"/>
        <v>455</v>
      </c>
      <c r="B487" s="10"/>
      <c r="C487" s="30" t="s">
        <v>947</v>
      </c>
      <c r="D487" s="55">
        <v>361</v>
      </c>
      <c r="E487" s="28">
        <f t="shared" si="66"/>
        <v>36</v>
      </c>
      <c r="F487" s="28">
        <f t="shared" si="67"/>
        <v>95</v>
      </c>
      <c r="G487" s="18">
        <v>60</v>
      </c>
      <c r="H487" s="18" t="s">
        <v>15</v>
      </c>
      <c r="I487" s="35"/>
      <c r="J487" s="3"/>
      <c r="K487" s="3"/>
    </row>
    <row r="488" spans="1:11" ht="140.25" x14ac:dyDescent="0.2">
      <c r="A488" s="2">
        <f t="shared" si="62"/>
        <v>456</v>
      </c>
      <c r="B488" s="10"/>
      <c r="C488" s="30" t="s">
        <v>180</v>
      </c>
      <c r="D488" s="55">
        <v>362</v>
      </c>
      <c r="E488" s="28">
        <f t="shared" si="66"/>
        <v>96</v>
      </c>
      <c r="F488" s="28">
        <f t="shared" si="67"/>
        <v>109</v>
      </c>
      <c r="G488" s="18">
        <v>14</v>
      </c>
      <c r="H488" s="18" t="s">
        <v>15</v>
      </c>
      <c r="I488" s="35"/>
      <c r="J488" s="3"/>
      <c r="K488" s="3" t="s">
        <v>948</v>
      </c>
    </row>
    <row r="489" spans="1:11" ht="15" x14ac:dyDescent="0.2">
      <c r="A489" s="2">
        <f t="shared" si="62"/>
        <v>457</v>
      </c>
      <c r="B489" s="10"/>
      <c r="C489" s="30" t="s">
        <v>949</v>
      </c>
      <c r="D489" s="55">
        <v>363</v>
      </c>
      <c r="E489" s="28">
        <f t="shared" si="66"/>
        <v>110</v>
      </c>
      <c r="F489" s="28">
        <f t="shared" si="67"/>
        <v>169</v>
      </c>
      <c r="G489" s="18">
        <v>60</v>
      </c>
      <c r="H489" s="18" t="s">
        <v>15</v>
      </c>
      <c r="I489" s="35"/>
      <c r="J489" s="3"/>
      <c r="K489" s="3"/>
    </row>
    <row r="490" spans="1:11" ht="15" x14ac:dyDescent="0.2">
      <c r="A490" s="2">
        <f t="shared" si="62"/>
        <v>458</v>
      </c>
      <c r="B490" s="10"/>
      <c r="C490" s="30" t="s">
        <v>170</v>
      </c>
      <c r="D490" s="55">
        <v>364</v>
      </c>
      <c r="E490" s="28">
        <f t="shared" si="66"/>
        <v>170</v>
      </c>
      <c r="F490" s="28">
        <f t="shared" si="67"/>
        <v>229</v>
      </c>
      <c r="G490" s="18">
        <v>60</v>
      </c>
      <c r="H490" s="18" t="s">
        <v>15</v>
      </c>
      <c r="I490" s="35"/>
      <c r="J490" s="3"/>
      <c r="K490" s="3"/>
    </row>
    <row r="491" spans="1:11" ht="15" x14ac:dyDescent="0.2">
      <c r="A491" s="2">
        <f t="shared" si="62"/>
        <v>459</v>
      </c>
      <c r="B491" s="10"/>
      <c r="C491" s="30" t="s">
        <v>172</v>
      </c>
      <c r="D491" s="55">
        <v>365</v>
      </c>
      <c r="E491" s="28">
        <f t="shared" si="66"/>
        <v>230</v>
      </c>
      <c r="F491" s="28">
        <f t="shared" si="67"/>
        <v>231</v>
      </c>
      <c r="G491" s="18">
        <v>2</v>
      </c>
      <c r="H491" s="18" t="s">
        <v>15</v>
      </c>
      <c r="I491" s="35"/>
      <c r="J491" s="3"/>
      <c r="K491" s="3" t="s">
        <v>950</v>
      </c>
    </row>
    <row r="492" spans="1:11" x14ac:dyDescent="0.2">
      <c r="A492" s="2">
        <f t="shared" si="62"/>
        <v>460</v>
      </c>
      <c r="B492" s="10"/>
      <c r="C492" s="10" t="s">
        <v>28</v>
      </c>
      <c r="D492" s="29" t="s">
        <v>14</v>
      </c>
      <c r="E492" s="28">
        <f t="shared" si="66"/>
        <v>232</v>
      </c>
      <c r="F492" s="28">
        <v>600</v>
      </c>
      <c r="G492" s="28">
        <f>F492-F491</f>
        <v>369</v>
      </c>
      <c r="H492" s="28" t="s">
        <v>15</v>
      </c>
      <c r="I492" s="28"/>
      <c r="J492" s="3"/>
      <c r="K492" s="3" t="s">
        <v>29</v>
      </c>
    </row>
    <row r="493" spans="1:11" x14ac:dyDescent="0.2">
      <c r="A493" s="2">
        <f t="shared" si="62"/>
        <v>461</v>
      </c>
      <c r="B493" s="159" t="s">
        <v>951</v>
      </c>
      <c r="C493" s="158"/>
      <c r="D493" s="29" t="s">
        <v>14</v>
      </c>
      <c r="E493" s="28">
        <f>$F$16+1</f>
        <v>7</v>
      </c>
      <c r="F493" s="28">
        <f>G493+$F$16</f>
        <v>9</v>
      </c>
      <c r="G493" s="28">
        <v>3</v>
      </c>
      <c r="H493" s="28" t="s">
        <v>18</v>
      </c>
      <c r="I493" s="28"/>
      <c r="J493" s="3"/>
      <c r="K493" s="158" t="s">
        <v>952</v>
      </c>
    </row>
    <row r="494" spans="1:11" ht="15" x14ac:dyDescent="0.2">
      <c r="A494" s="2">
        <f t="shared" si="62"/>
        <v>462</v>
      </c>
      <c r="B494" s="10"/>
      <c r="C494" s="30" t="s">
        <v>953</v>
      </c>
      <c r="D494" s="56">
        <v>367</v>
      </c>
      <c r="E494" s="28">
        <f t="shared" ref="E494:E500" si="68">F493+1</f>
        <v>10</v>
      </c>
      <c r="F494" s="28">
        <f t="shared" ref="F494:F499" si="69">F493+G494</f>
        <v>24</v>
      </c>
      <c r="G494" s="18">
        <v>15</v>
      </c>
      <c r="H494" s="18" t="s">
        <v>18</v>
      </c>
      <c r="I494" s="18">
        <v>2</v>
      </c>
      <c r="J494" s="3"/>
      <c r="K494" s="3"/>
    </row>
    <row r="495" spans="1:11" ht="15" x14ac:dyDescent="0.2">
      <c r="A495" s="2">
        <f t="shared" si="62"/>
        <v>463</v>
      </c>
      <c r="B495" s="10"/>
      <c r="C495" s="30" t="s">
        <v>954</v>
      </c>
      <c r="D495" s="56">
        <v>368</v>
      </c>
      <c r="E495" s="28">
        <f t="shared" si="68"/>
        <v>25</v>
      </c>
      <c r="F495" s="28">
        <f t="shared" si="69"/>
        <v>39</v>
      </c>
      <c r="G495" s="18">
        <v>15</v>
      </c>
      <c r="H495" s="18" t="s">
        <v>18</v>
      </c>
      <c r="I495" s="18">
        <v>2</v>
      </c>
      <c r="J495" s="3"/>
      <c r="K495" s="3"/>
    </row>
    <row r="496" spans="1:11" ht="15" x14ac:dyDescent="0.2">
      <c r="A496" s="2">
        <f t="shared" si="62"/>
        <v>464</v>
      </c>
      <c r="B496" s="10"/>
      <c r="C496" s="30" t="s">
        <v>955</v>
      </c>
      <c r="D496" s="56">
        <v>369</v>
      </c>
      <c r="E496" s="28">
        <f t="shared" si="68"/>
        <v>40</v>
      </c>
      <c r="F496" s="28">
        <f t="shared" si="69"/>
        <v>44</v>
      </c>
      <c r="G496" s="18">
        <v>5</v>
      </c>
      <c r="H496" s="18" t="s">
        <v>18</v>
      </c>
      <c r="I496" s="18">
        <v>2</v>
      </c>
      <c r="J496" s="3"/>
      <c r="K496" s="3"/>
    </row>
    <row r="497" spans="1:11" ht="15" x14ac:dyDescent="0.2">
      <c r="A497" s="2">
        <f t="shared" ref="A497:A507" si="70">A496+1</f>
        <v>465</v>
      </c>
      <c r="B497" s="10"/>
      <c r="C497" s="30" t="s">
        <v>956</v>
      </c>
      <c r="D497" s="56">
        <v>370</v>
      </c>
      <c r="E497" s="28">
        <f t="shared" si="68"/>
        <v>45</v>
      </c>
      <c r="F497" s="28">
        <f t="shared" si="69"/>
        <v>59</v>
      </c>
      <c r="G497" s="18">
        <v>15</v>
      </c>
      <c r="H497" s="18" t="s">
        <v>18</v>
      </c>
      <c r="I497" s="18">
        <v>2</v>
      </c>
      <c r="J497" s="3"/>
      <c r="K497" s="3"/>
    </row>
    <row r="498" spans="1:11" ht="15" x14ac:dyDescent="0.2">
      <c r="A498" s="2">
        <f t="shared" si="70"/>
        <v>466</v>
      </c>
      <c r="B498" s="10"/>
      <c r="C498" s="30" t="s">
        <v>957</v>
      </c>
      <c r="D498" s="56">
        <v>371</v>
      </c>
      <c r="E498" s="28">
        <f t="shared" si="68"/>
        <v>60</v>
      </c>
      <c r="F498" s="28">
        <f t="shared" si="69"/>
        <v>63</v>
      </c>
      <c r="G498" s="18">
        <v>4</v>
      </c>
      <c r="H498" s="18" t="s">
        <v>18</v>
      </c>
      <c r="I498" s="18"/>
      <c r="J498" s="3"/>
      <c r="K498" s="3" t="s">
        <v>958</v>
      </c>
    </row>
    <row r="499" spans="1:11" ht="38.25" x14ac:dyDescent="0.2">
      <c r="A499" s="2">
        <f t="shared" si="70"/>
        <v>467</v>
      </c>
      <c r="B499" s="10"/>
      <c r="C499" s="30" t="s">
        <v>113</v>
      </c>
      <c r="D499" s="56">
        <v>372</v>
      </c>
      <c r="E499" s="28">
        <f t="shared" si="68"/>
        <v>64</v>
      </c>
      <c r="F499" s="28">
        <f t="shared" si="69"/>
        <v>70</v>
      </c>
      <c r="G499" s="18">
        <v>7</v>
      </c>
      <c r="H499" s="18" t="s">
        <v>18</v>
      </c>
      <c r="I499" s="18"/>
      <c r="J499" s="3"/>
      <c r="K499" s="3" t="s">
        <v>959</v>
      </c>
    </row>
    <row r="500" spans="1:11" x14ac:dyDescent="0.2">
      <c r="A500" s="2">
        <f t="shared" si="70"/>
        <v>468</v>
      </c>
      <c r="B500" s="10"/>
      <c r="C500" s="10" t="s">
        <v>28</v>
      </c>
      <c r="D500" s="29" t="s">
        <v>14</v>
      </c>
      <c r="E500" s="28">
        <f t="shared" si="68"/>
        <v>71</v>
      </c>
      <c r="F500" s="28">
        <v>600</v>
      </c>
      <c r="G500" s="28">
        <f>F500-F499</f>
        <v>530</v>
      </c>
      <c r="H500" s="28" t="s">
        <v>15</v>
      </c>
      <c r="I500" s="28"/>
      <c r="J500" s="3"/>
      <c r="K500" s="3" t="s">
        <v>29</v>
      </c>
    </row>
    <row r="501" spans="1:11" x14ac:dyDescent="0.2">
      <c r="A501" s="2">
        <f t="shared" si="70"/>
        <v>469</v>
      </c>
      <c r="B501" s="159" t="s">
        <v>960</v>
      </c>
      <c r="C501" s="158"/>
      <c r="D501" s="29" t="s">
        <v>14</v>
      </c>
      <c r="E501" s="28">
        <f>$F$16+1</f>
        <v>7</v>
      </c>
      <c r="F501" s="28">
        <f>G501+$F$16</f>
        <v>9</v>
      </c>
      <c r="G501" s="28">
        <v>3</v>
      </c>
      <c r="H501" s="28" t="s">
        <v>18</v>
      </c>
      <c r="I501" s="28"/>
      <c r="J501" s="3"/>
      <c r="K501" s="158" t="s">
        <v>961</v>
      </c>
    </row>
    <row r="502" spans="1:11" ht="15" x14ac:dyDescent="0.2">
      <c r="A502" s="2">
        <f t="shared" si="70"/>
        <v>470</v>
      </c>
      <c r="B502" s="10"/>
      <c r="C502" s="30" t="s">
        <v>962</v>
      </c>
      <c r="D502" s="56">
        <v>374</v>
      </c>
      <c r="E502" s="28">
        <f t="shared" ref="E502:E510" si="71">F501+1</f>
        <v>10</v>
      </c>
      <c r="F502" s="28">
        <f t="shared" ref="F502:F509" si="72">F501+G502</f>
        <v>17</v>
      </c>
      <c r="G502" s="18">
        <v>8</v>
      </c>
      <c r="H502" s="18" t="s">
        <v>15</v>
      </c>
      <c r="I502" s="18"/>
      <c r="J502" s="3"/>
      <c r="K502" s="3"/>
    </row>
    <row r="503" spans="1:11" ht="15" x14ac:dyDescent="0.2">
      <c r="A503" s="2">
        <f t="shared" si="70"/>
        <v>471</v>
      </c>
      <c r="B503" s="10"/>
      <c r="C503" s="30" t="s">
        <v>172</v>
      </c>
      <c r="D503" s="56">
        <v>375</v>
      </c>
      <c r="E503" s="28">
        <f t="shared" si="71"/>
        <v>18</v>
      </c>
      <c r="F503" s="28">
        <f t="shared" si="72"/>
        <v>19</v>
      </c>
      <c r="G503" s="18">
        <v>2</v>
      </c>
      <c r="H503" s="18" t="s">
        <v>15</v>
      </c>
      <c r="I503" s="18"/>
      <c r="J503" s="3"/>
      <c r="K503" s="3"/>
    </row>
    <row r="504" spans="1:11" ht="15" x14ac:dyDescent="0.2">
      <c r="A504" s="2">
        <f t="shared" si="70"/>
        <v>472</v>
      </c>
      <c r="B504" s="10"/>
      <c r="C504" s="30" t="s">
        <v>963</v>
      </c>
      <c r="D504" s="56">
        <v>376</v>
      </c>
      <c r="E504" s="28">
        <f t="shared" si="71"/>
        <v>20</v>
      </c>
      <c r="F504" s="28">
        <f t="shared" si="72"/>
        <v>39</v>
      </c>
      <c r="G504" s="18">
        <v>20</v>
      </c>
      <c r="H504" s="18" t="s">
        <v>15</v>
      </c>
      <c r="I504" s="18"/>
      <c r="J504" s="3"/>
      <c r="K504" s="3"/>
    </row>
    <row r="505" spans="1:11" ht="15" x14ac:dyDescent="0.2">
      <c r="A505" s="2">
        <f t="shared" si="70"/>
        <v>473</v>
      </c>
      <c r="B505" s="10"/>
      <c r="C505" s="30" t="s">
        <v>962</v>
      </c>
      <c r="D505" s="56">
        <v>378</v>
      </c>
      <c r="E505" s="28">
        <f t="shared" si="71"/>
        <v>40</v>
      </c>
      <c r="F505" s="28">
        <f t="shared" si="72"/>
        <v>47</v>
      </c>
      <c r="G505" s="18">
        <v>8</v>
      </c>
      <c r="H505" s="18" t="s">
        <v>15</v>
      </c>
      <c r="I505" s="18"/>
      <c r="J505" s="3"/>
      <c r="K505" s="3"/>
    </row>
    <row r="506" spans="1:11" ht="15" x14ac:dyDescent="0.2">
      <c r="A506" s="2">
        <f t="shared" si="70"/>
        <v>474</v>
      </c>
      <c r="B506" s="10"/>
      <c r="C506" s="30" t="s">
        <v>172</v>
      </c>
      <c r="D506" s="56">
        <v>379</v>
      </c>
      <c r="E506" s="28">
        <f t="shared" si="71"/>
        <v>48</v>
      </c>
      <c r="F506" s="28">
        <f t="shared" si="72"/>
        <v>49</v>
      </c>
      <c r="G506" s="18">
        <v>2</v>
      </c>
      <c r="H506" s="18" t="s">
        <v>15</v>
      </c>
      <c r="I506" s="18"/>
      <c r="J506" s="3"/>
      <c r="K506" s="3"/>
    </row>
    <row r="507" spans="1:11" ht="15" x14ac:dyDescent="0.2">
      <c r="A507" s="2">
        <f t="shared" si="70"/>
        <v>475</v>
      </c>
      <c r="B507" s="10"/>
      <c r="C507" s="30" t="s">
        <v>963</v>
      </c>
      <c r="D507" s="56">
        <v>380</v>
      </c>
      <c r="E507" s="28">
        <f t="shared" si="71"/>
        <v>50</v>
      </c>
      <c r="F507" s="28">
        <f t="shared" si="72"/>
        <v>69</v>
      </c>
      <c r="G507" s="18">
        <v>20</v>
      </c>
      <c r="H507" s="18" t="s">
        <v>15</v>
      </c>
      <c r="I507" s="18"/>
      <c r="J507" s="3"/>
      <c r="K507" s="3"/>
    </row>
    <row r="508" spans="1:11" x14ac:dyDescent="0.2">
      <c r="A508" s="2">
        <f>A506+1</f>
        <v>475</v>
      </c>
      <c r="B508" s="10"/>
      <c r="C508" s="10" t="s">
        <v>964</v>
      </c>
      <c r="D508" s="29" t="s">
        <v>965</v>
      </c>
      <c r="E508" s="28">
        <f t="shared" si="71"/>
        <v>70</v>
      </c>
      <c r="F508" s="28">
        <f t="shared" si="72"/>
        <v>89</v>
      </c>
      <c r="G508" s="28">
        <v>20</v>
      </c>
      <c r="H508" s="28" t="s">
        <v>15</v>
      </c>
      <c r="I508" s="28"/>
      <c r="J508" s="3"/>
      <c r="K508" s="3"/>
    </row>
    <row r="509" spans="1:11" x14ac:dyDescent="0.2">
      <c r="A509" s="2">
        <f>A506+1</f>
        <v>475</v>
      </c>
      <c r="B509" s="10"/>
      <c r="C509" s="10" t="s">
        <v>966</v>
      </c>
      <c r="D509" s="29" t="s">
        <v>967</v>
      </c>
      <c r="E509" s="28">
        <f t="shared" si="71"/>
        <v>90</v>
      </c>
      <c r="F509" s="28">
        <f t="shared" si="72"/>
        <v>109</v>
      </c>
      <c r="G509" s="28">
        <v>20</v>
      </c>
      <c r="H509" s="28" t="s">
        <v>15</v>
      </c>
      <c r="I509" s="28"/>
      <c r="J509" s="3"/>
      <c r="K509" s="3"/>
    </row>
    <row r="510" spans="1:11" x14ac:dyDescent="0.2">
      <c r="A510" s="2">
        <f>A507+1</f>
        <v>476</v>
      </c>
      <c r="B510" s="10"/>
      <c r="C510" s="10" t="s">
        <v>28</v>
      </c>
      <c r="D510" s="29" t="s">
        <v>14</v>
      </c>
      <c r="E510" s="28">
        <f t="shared" si="71"/>
        <v>110</v>
      </c>
      <c r="F510" s="28">
        <v>600</v>
      </c>
      <c r="G510" s="28">
        <f>F510-F509</f>
        <v>491</v>
      </c>
      <c r="H510" s="28" t="s">
        <v>15</v>
      </c>
      <c r="I510" s="28"/>
      <c r="J510" s="3"/>
      <c r="K510" s="3" t="s">
        <v>29</v>
      </c>
    </row>
    <row r="511" spans="1:11" x14ac:dyDescent="0.2">
      <c r="A511" s="2">
        <f t="shared" ref="A511:A531" si="73">A510+1</f>
        <v>477</v>
      </c>
      <c r="B511" s="159" t="s">
        <v>968</v>
      </c>
      <c r="C511" s="158"/>
      <c r="D511" s="29" t="s">
        <v>14</v>
      </c>
      <c r="E511" s="28">
        <f>$F$16+1</f>
        <v>7</v>
      </c>
      <c r="F511" s="28">
        <f>G511+$F$16</f>
        <v>9</v>
      </c>
      <c r="G511" s="28">
        <v>3</v>
      </c>
      <c r="H511" s="28" t="s">
        <v>18</v>
      </c>
      <c r="I511" s="28"/>
      <c r="J511" s="3"/>
      <c r="K511" s="158" t="s">
        <v>969</v>
      </c>
    </row>
    <row r="512" spans="1:11" ht="15" x14ac:dyDescent="0.2">
      <c r="A512" s="2">
        <f t="shared" si="73"/>
        <v>478</v>
      </c>
      <c r="B512" s="10"/>
      <c r="C512" s="30" t="s">
        <v>970</v>
      </c>
      <c r="D512" s="56">
        <v>382</v>
      </c>
      <c r="E512" s="28">
        <f t="shared" ref="E512:E519" si="74">F511+1</f>
        <v>10</v>
      </c>
      <c r="F512" s="28">
        <f t="shared" ref="F512:F518" si="75">F511+G512</f>
        <v>24</v>
      </c>
      <c r="G512" s="18">
        <v>15</v>
      </c>
      <c r="H512" s="18" t="s">
        <v>18</v>
      </c>
      <c r="I512" s="18"/>
      <c r="J512" s="3"/>
      <c r="K512" s="3"/>
    </row>
    <row r="513" spans="1:11" ht="15" x14ac:dyDescent="0.2">
      <c r="A513" s="2">
        <f t="shared" si="73"/>
        <v>479</v>
      </c>
      <c r="B513" s="10"/>
      <c r="C513" s="30" t="s">
        <v>971</v>
      </c>
      <c r="D513" s="56">
        <v>383</v>
      </c>
      <c r="E513" s="28">
        <f t="shared" si="74"/>
        <v>25</v>
      </c>
      <c r="F513" s="28">
        <f t="shared" si="75"/>
        <v>84</v>
      </c>
      <c r="G513" s="18">
        <v>60</v>
      </c>
      <c r="H513" s="18" t="s">
        <v>15</v>
      </c>
      <c r="I513" s="18"/>
      <c r="J513" s="3"/>
      <c r="K513" s="3"/>
    </row>
    <row r="514" spans="1:11" ht="15" x14ac:dyDescent="0.2">
      <c r="A514" s="2">
        <f t="shared" si="73"/>
        <v>480</v>
      </c>
      <c r="B514" s="10"/>
      <c r="C514" s="30" t="s">
        <v>972</v>
      </c>
      <c r="D514" s="56">
        <v>384</v>
      </c>
      <c r="E514" s="28">
        <f t="shared" si="74"/>
        <v>85</v>
      </c>
      <c r="F514" s="28">
        <f t="shared" si="75"/>
        <v>144</v>
      </c>
      <c r="G514" s="18">
        <v>60</v>
      </c>
      <c r="H514" s="18" t="s">
        <v>15</v>
      </c>
      <c r="I514" s="18"/>
      <c r="J514" s="3"/>
      <c r="K514" s="3"/>
    </row>
    <row r="515" spans="1:11" ht="15" x14ac:dyDescent="0.2">
      <c r="A515" s="2">
        <f t="shared" si="73"/>
        <v>481</v>
      </c>
      <c r="B515" s="10"/>
      <c r="C515" s="30" t="s">
        <v>973</v>
      </c>
      <c r="D515" s="56">
        <v>385</v>
      </c>
      <c r="E515" s="28">
        <f t="shared" si="74"/>
        <v>145</v>
      </c>
      <c r="F515" s="28">
        <f t="shared" si="75"/>
        <v>204</v>
      </c>
      <c r="G515" s="18">
        <v>60</v>
      </c>
      <c r="H515" s="18" t="s">
        <v>15</v>
      </c>
      <c r="I515" s="18"/>
      <c r="J515" s="3"/>
      <c r="K515" s="3"/>
    </row>
    <row r="516" spans="1:11" ht="15" customHeight="1" x14ac:dyDescent="0.2">
      <c r="A516" s="2">
        <f t="shared" si="73"/>
        <v>482</v>
      </c>
      <c r="B516" s="10"/>
      <c r="C516" s="30" t="s">
        <v>974</v>
      </c>
      <c r="D516" s="56">
        <v>386</v>
      </c>
      <c r="E516" s="28">
        <f t="shared" si="74"/>
        <v>205</v>
      </c>
      <c r="F516" s="28">
        <f t="shared" si="75"/>
        <v>219</v>
      </c>
      <c r="G516" s="18">
        <v>15</v>
      </c>
      <c r="H516" s="18" t="s">
        <v>18</v>
      </c>
      <c r="I516" s="18">
        <v>3</v>
      </c>
      <c r="J516" s="3"/>
      <c r="K516" s="3"/>
    </row>
    <row r="517" spans="1:11" ht="15" x14ac:dyDescent="0.2">
      <c r="A517" s="2">
        <f t="shared" si="73"/>
        <v>483</v>
      </c>
      <c r="B517" s="10"/>
      <c r="C517" s="30" t="s">
        <v>975</v>
      </c>
      <c r="D517" s="56">
        <v>387</v>
      </c>
      <c r="E517" s="28">
        <f t="shared" si="74"/>
        <v>220</v>
      </c>
      <c r="F517" s="28">
        <f t="shared" si="75"/>
        <v>234</v>
      </c>
      <c r="G517" s="18">
        <v>15</v>
      </c>
      <c r="H517" s="18" t="s">
        <v>18</v>
      </c>
      <c r="I517" s="18">
        <v>3</v>
      </c>
      <c r="J517" s="3"/>
      <c r="K517" s="3"/>
    </row>
    <row r="518" spans="1:11" ht="15" x14ac:dyDescent="0.2">
      <c r="A518" s="2">
        <f t="shared" si="73"/>
        <v>484</v>
      </c>
      <c r="B518" s="10"/>
      <c r="C518" s="30" t="s">
        <v>976</v>
      </c>
      <c r="D518" s="56">
        <v>388</v>
      </c>
      <c r="E518" s="28">
        <f t="shared" si="74"/>
        <v>235</v>
      </c>
      <c r="F518" s="28">
        <f t="shared" si="75"/>
        <v>294</v>
      </c>
      <c r="G518" s="18">
        <v>60</v>
      </c>
      <c r="H518" s="18" t="s">
        <v>15</v>
      </c>
      <c r="I518" s="18"/>
      <c r="J518" s="3"/>
      <c r="K518" s="3"/>
    </row>
    <row r="519" spans="1:11" x14ac:dyDescent="0.2">
      <c r="A519" s="2">
        <f t="shared" si="73"/>
        <v>485</v>
      </c>
      <c r="B519" s="10"/>
      <c r="C519" s="10" t="s">
        <v>28</v>
      </c>
      <c r="D519" s="29" t="s">
        <v>14</v>
      </c>
      <c r="E519" s="28">
        <f t="shared" si="74"/>
        <v>295</v>
      </c>
      <c r="F519" s="28">
        <v>600</v>
      </c>
      <c r="G519" s="28">
        <f>F519-F518</f>
        <v>306</v>
      </c>
      <c r="H519" s="28" t="s">
        <v>15</v>
      </c>
      <c r="I519" s="28"/>
      <c r="J519" s="3"/>
      <c r="K519" s="3" t="s">
        <v>29</v>
      </c>
    </row>
    <row r="520" spans="1:11" x14ac:dyDescent="0.2">
      <c r="A520" s="2">
        <f t="shared" si="73"/>
        <v>486</v>
      </c>
      <c r="B520" s="10"/>
      <c r="C520" s="10"/>
      <c r="D520" s="29"/>
      <c r="E520" s="28"/>
      <c r="F520" s="28"/>
      <c r="G520" s="28"/>
      <c r="H520" s="28"/>
      <c r="I520" s="28"/>
      <c r="J520" s="3"/>
      <c r="K520" s="3"/>
    </row>
    <row r="521" spans="1:11" ht="15" customHeight="1" x14ac:dyDescent="0.2">
      <c r="A521" s="2">
        <f t="shared" si="73"/>
        <v>487</v>
      </c>
      <c r="B521" s="139" t="s">
        <v>977</v>
      </c>
      <c r="C521" s="139"/>
      <c r="D521" s="29"/>
      <c r="E521" s="28"/>
      <c r="F521" s="28"/>
      <c r="G521" s="28"/>
      <c r="H521" s="28"/>
      <c r="I521" s="28"/>
      <c r="J521" s="3"/>
      <c r="K521" s="3"/>
    </row>
    <row r="522" spans="1:11" x14ac:dyDescent="0.2">
      <c r="A522" s="2">
        <f t="shared" si="73"/>
        <v>488</v>
      </c>
      <c r="B522" s="10"/>
      <c r="C522" s="10"/>
      <c r="D522" s="29"/>
      <c r="E522" s="28"/>
      <c r="F522" s="28"/>
      <c r="G522" s="28"/>
      <c r="H522" s="28"/>
      <c r="I522" s="28"/>
      <c r="J522" s="3"/>
      <c r="K522" s="3"/>
    </row>
    <row r="523" spans="1:11" x14ac:dyDescent="0.2">
      <c r="A523" s="2">
        <f t="shared" si="73"/>
        <v>489</v>
      </c>
      <c r="B523" s="159" t="s">
        <v>978</v>
      </c>
      <c r="C523" s="158"/>
      <c r="D523" s="29" t="s">
        <v>14</v>
      </c>
      <c r="E523" s="28">
        <f>$F$16+1</f>
        <v>7</v>
      </c>
      <c r="F523" s="28">
        <f>G523+$F$16</f>
        <v>9</v>
      </c>
      <c r="G523" s="28">
        <v>3</v>
      </c>
      <c r="H523" s="28" t="s">
        <v>18</v>
      </c>
      <c r="I523" s="28"/>
      <c r="J523" s="3"/>
      <c r="K523" s="158" t="s">
        <v>979</v>
      </c>
    </row>
    <row r="524" spans="1:11" ht="15" x14ac:dyDescent="0.2">
      <c r="A524" s="2">
        <f t="shared" si="73"/>
        <v>490</v>
      </c>
      <c r="B524" s="13"/>
      <c r="C524" s="10" t="s">
        <v>1417</v>
      </c>
      <c r="D524" s="55" t="s">
        <v>14</v>
      </c>
      <c r="E524" s="28">
        <f t="shared" ref="E524:E529" si="76">F523+1</f>
        <v>10</v>
      </c>
      <c r="F524" s="28">
        <f>F523+G524</f>
        <v>21</v>
      </c>
      <c r="G524" s="18">
        <v>12</v>
      </c>
      <c r="H524" s="18" t="s">
        <v>15</v>
      </c>
      <c r="I524" s="18"/>
      <c r="J524" s="3"/>
      <c r="K524" s="3" t="s">
        <v>268</v>
      </c>
    </row>
    <row r="525" spans="1:11" ht="15" x14ac:dyDescent="0.2">
      <c r="A525" s="2">
        <f t="shared" si="73"/>
        <v>491</v>
      </c>
      <c r="B525" s="13"/>
      <c r="C525" s="10" t="s">
        <v>980</v>
      </c>
      <c r="D525" s="55">
        <v>391</v>
      </c>
      <c r="E525" s="28">
        <f t="shared" si="76"/>
        <v>22</v>
      </c>
      <c r="F525" s="28">
        <f>F523+G525</f>
        <v>69</v>
      </c>
      <c r="G525" s="18">
        <v>60</v>
      </c>
      <c r="H525" s="18" t="s">
        <v>15</v>
      </c>
      <c r="I525" s="18"/>
      <c r="J525" s="3"/>
      <c r="K525" s="3"/>
    </row>
    <row r="526" spans="1:11" ht="15" x14ac:dyDescent="0.2">
      <c r="A526" s="2">
        <f t="shared" si="73"/>
        <v>492</v>
      </c>
      <c r="B526" s="13"/>
      <c r="C526" s="10" t="s">
        <v>981</v>
      </c>
      <c r="D526" s="55">
        <v>392</v>
      </c>
      <c r="E526" s="28">
        <f t="shared" si="76"/>
        <v>70</v>
      </c>
      <c r="F526" s="28">
        <f>F525+G526</f>
        <v>84</v>
      </c>
      <c r="G526" s="18">
        <v>15</v>
      </c>
      <c r="H526" s="18" t="s">
        <v>18</v>
      </c>
      <c r="I526" s="18">
        <v>2</v>
      </c>
      <c r="J526" s="3"/>
      <c r="K526" s="3"/>
    </row>
    <row r="527" spans="1:11" ht="15" x14ac:dyDescent="0.2">
      <c r="A527" s="2">
        <f t="shared" si="73"/>
        <v>493</v>
      </c>
      <c r="B527" s="13"/>
      <c r="C527" s="10" t="s">
        <v>982</v>
      </c>
      <c r="D527" s="55">
        <v>393</v>
      </c>
      <c r="E527" s="28">
        <f t="shared" si="76"/>
        <v>85</v>
      </c>
      <c r="F527" s="28">
        <f>F526+G527</f>
        <v>99</v>
      </c>
      <c r="G527" s="18">
        <v>15</v>
      </c>
      <c r="H527" s="18" t="s">
        <v>18</v>
      </c>
      <c r="I527" s="18">
        <v>2</v>
      </c>
      <c r="J527" s="3"/>
      <c r="K527" s="3"/>
    </row>
    <row r="528" spans="1:11" ht="15" x14ac:dyDescent="0.2">
      <c r="A528" s="2">
        <f t="shared" si="73"/>
        <v>494</v>
      </c>
      <c r="B528" s="13"/>
      <c r="C528" s="10" t="s">
        <v>983</v>
      </c>
      <c r="D528" s="55">
        <v>394</v>
      </c>
      <c r="E528" s="28">
        <f t="shared" si="76"/>
        <v>100</v>
      </c>
      <c r="F528" s="28">
        <f>F527+G528</f>
        <v>114</v>
      </c>
      <c r="G528" s="18">
        <v>15</v>
      </c>
      <c r="H528" s="18" t="s">
        <v>18</v>
      </c>
      <c r="I528" s="18">
        <v>2</v>
      </c>
      <c r="J528" s="3"/>
      <c r="K528" s="3"/>
    </row>
    <row r="529" spans="1:11" x14ac:dyDescent="0.2">
      <c r="A529" s="2">
        <f t="shared" si="73"/>
        <v>495</v>
      </c>
      <c r="B529" s="10"/>
      <c r="C529" s="10" t="s">
        <v>28</v>
      </c>
      <c r="D529" s="29" t="s">
        <v>14</v>
      </c>
      <c r="E529" s="28">
        <f t="shared" si="76"/>
        <v>115</v>
      </c>
      <c r="F529" s="28">
        <v>600</v>
      </c>
      <c r="G529" s="28">
        <f>F529-F528</f>
        <v>486</v>
      </c>
      <c r="H529" s="28" t="s">
        <v>15</v>
      </c>
      <c r="I529" s="28"/>
      <c r="J529" s="3"/>
      <c r="K529" s="3" t="s">
        <v>29</v>
      </c>
    </row>
    <row r="530" spans="1:11" x14ac:dyDescent="0.2">
      <c r="A530" s="2">
        <f t="shared" si="73"/>
        <v>496</v>
      </c>
      <c r="B530" s="10"/>
      <c r="C530" s="10"/>
      <c r="D530" s="29"/>
      <c r="E530" s="28"/>
      <c r="F530" s="28"/>
      <c r="G530" s="28"/>
      <c r="H530" s="28"/>
      <c r="I530" s="28"/>
      <c r="J530" s="3"/>
      <c r="K530" s="3"/>
    </row>
    <row r="531" spans="1:11" x14ac:dyDescent="0.2">
      <c r="A531" s="2">
        <f t="shared" si="73"/>
        <v>497</v>
      </c>
      <c r="B531" s="159" t="s">
        <v>984</v>
      </c>
      <c r="C531" s="158"/>
      <c r="D531" s="29" t="s">
        <v>14</v>
      </c>
      <c r="E531" s="28">
        <f>$F$16+1</f>
        <v>7</v>
      </c>
      <c r="F531" s="28">
        <f>G531+$F$16</f>
        <v>9</v>
      </c>
      <c r="G531" s="28">
        <v>3</v>
      </c>
      <c r="H531" s="28" t="s">
        <v>18</v>
      </c>
      <c r="I531" s="28"/>
      <c r="J531" s="3"/>
      <c r="K531" s="158" t="s">
        <v>985</v>
      </c>
    </row>
    <row r="532" spans="1:11" ht="15" x14ac:dyDescent="0.2">
      <c r="A532" s="2"/>
      <c r="B532" s="10"/>
      <c r="C532" s="30" t="s">
        <v>980</v>
      </c>
      <c r="D532" s="56">
        <v>391</v>
      </c>
      <c r="E532" s="28">
        <f>F531+1</f>
        <v>10</v>
      </c>
      <c r="F532" s="28">
        <f>F531+G532</f>
        <v>69</v>
      </c>
      <c r="G532" s="18">
        <v>60</v>
      </c>
      <c r="H532" s="18" t="s">
        <v>15</v>
      </c>
      <c r="I532" s="18"/>
      <c r="J532" s="3"/>
      <c r="K532" s="3" t="s">
        <v>268</v>
      </c>
    </row>
    <row r="533" spans="1:11" ht="15" x14ac:dyDescent="0.2">
      <c r="A533" s="2">
        <f>A531+1</f>
        <v>498</v>
      </c>
      <c r="B533" s="10"/>
      <c r="C533" s="30" t="s">
        <v>986</v>
      </c>
      <c r="D533" s="56">
        <v>396</v>
      </c>
      <c r="E533" s="28">
        <f>F532+1</f>
        <v>70</v>
      </c>
      <c r="F533" s="28">
        <f>F532+G533</f>
        <v>129</v>
      </c>
      <c r="G533" s="18">
        <v>60</v>
      </c>
      <c r="H533" s="18" t="s">
        <v>15</v>
      </c>
      <c r="I533" s="18"/>
      <c r="J533" s="3"/>
      <c r="K533" s="3"/>
    </row>
    <row r="534" spans="1:11" ht="15" x14ac:dyDescent="0.2">
      <c r="A534" s="2">
        <f t="shared" ref="A534:A575" si="77">A533+1</f>
        <v>499</v>
      </c>
      <c r="B534" s="10"/>
      <c r="C534" s="30" t="s">
        <v>987</v>
      </c>
      <c r="D534" s="56">
        <v>397</v>
      </c>
      <c r="E534" s="28">
        <f>F533+1</f>
        <v>130</v>
      </c>
      <c r="F534" s="28">
        <f>F533+G534</f>
        <v>139</v>
      </c>
      <c r="G534" s="18">
        <v>10</v>
      </c>
      <c r="H534" s="18" t="s">
        <v>106</v>
      </c>
      <c r="I534" s="18"/>
      <c r="J534" s="3" t="s">
        <v>107</v>
      </c>
      <c r="K534" s="3"/>
    </row>
    <row r="535" spans="1:11" ht="15" x14ac:dyDescent="0.2">
      <c r="A535" s="2">
        <f t="shared" si="77"/>
        <v>500</v>
      </c>
      <c r="B535" s="10"/>
      <c r="C535" s="30" t="s">
        <v>988</v>
      </c>
      <c r="D535" s="56">
        <v>398</v>
      </c>
      <c r="E535" s="28">
        <f>F534+1</f>
        <v>140</v>
      </c>
      <c r="F535" s="28">
        <f>F534+G535</f>
        <v>154</v>
      </c>
      <c r="G535" s="18">
        <v>15</v>
      </c>
      <c r="H535" s="18" t="s">
        <v>18</v>
      </c>
      <c r="I535" s="18">
        <v>2</v>
      </c>
      <c r="J535" s="3"/>
      <c r="K535" s="3"/>
    </row>
    <row r="536" spans="1:11" x14ac:dyDescent="0.2">
      <c r="A536" s="2">
        <f t="shared" si="77"/>
        <v>501</v>
      </c>
      <c r="B536" s="10"/>
      <c r="C536" s="10" t="s">
        <v>28</v>
      </c>
      <c r="D536" s="29" t="s">
        <v>14</v>
      </c>
      <c r="E536" s="28">
        <f>F535+1</f>
        <v>155</v>
      </c>
      <c r="F536" s="28">
        <v>600</v>
      </c>
      <c r="G536" s="28">
        <f>F536-F535</f>
        <v>446</v>
      </c>
      <c r="H536" s="28" t="s">
        <v>15</v>
      </c>
      <c r="I536" s="28"/>
      <c r="J536" s="3"/>
      <c r="K536" s="3" t="s">
        <v>29</v>
      </c>
    </row>
    <row r="537" spans="1:11" x14ac:dyDescent="0.2">
      <c r="A537" s="188">
        <f t="shared" si="77"/>
        <v>502</v>
      </c>
      <c r="B537" s="189" t="s">
        <v>989</v>
      </c>
      <c r="C537" s="192"/>
      <c r="D537" s="190" t="s">
        <v>14</v>
      </c>
      <c r="E537" s="191">
        <f>$F$16+1</f>
        <v>7</v>
      </c>
      <c r="F537" s="191">
        <f>G537+$F$16</f>
        <v>9</v>
      </c>
      <c r="G537" s="191">
        <v>3</v>
      </c>
      <c r="H537" s="191" t="s">
        <v>18</v>
      </c>
      <c r="I537" s="191"/>
      <c r="J537" s="192"/>
      <c r="K537" s="192" t="s">
        <v>1418</v>
      </c>
    </row>
    <row r="538" spans="1:11" ht="127.5" x14ac:dyDescent="0.2">
      <c r="A538" s="138">
        <v>503</v>
      </c>
      <c r="B538" s="139"/>
      <c r="C538" s="139" t="s">
        <v>991</v>
      </c>
      <c r="D538" s="141" t="s">
        <v>992</v>
      </c>
      <c r="E538" s="69">
        <v>10</v>
      </c>
      <c r="F538" s="69">
        <v>11</v>
      </c>
      <c r="G538" s="69">
        <v>2</v>
      </c>
      <c r="H538" s="69" t="s">
        <v>18</v>
      </c>
      <c r="I538" s="69"/>
      <c r="J538" s="140"/>
      <c r="K538" s="140" t="s">
        <v>1419</v>
      </c>
    </row>
    <row r="539" spans="1:11" x14ac:dyDescent="0.2">
      <c r="A539" s="138">
        <v>504</v>
      </c>
      <c r="B539" s="139"/>
      <c r="C539" s="139" t="s">
        <v>994</v>
      </c>
      <c r="D539" s="141" t="s">
        <v>1011</v>
      </c>
      <c r="E539" s="69">
        <v>12</v>
      </c>
      <c r="F539" s="69">
        <v>26</v>
      </c>
      <c r="G539" s="69">
        <v>15</v>
      </c>
      <c r="H539" s="69" t="s">
        <v>18</v>
      </c>
      <c r="I539" s="69">
        <v>2</v>
      </c>
      <c r="J539" s="140"/>
      <c r="K539" s="140"/>
    </row>
    <row r="540" spans="1:11" x14ac:dyDescent="0.2">
      <c r="A540" s="138">
        <v>505</v>
      </c>
      <c r="B540" s="139"/>
      <c r="C540" s="139" t="s">
        <v>1420</v>
      </c>
      <c r="D540" s="141" t="s">
        <v>997</v>
      </c>
      <c r="E540" s="69">
        <v>16</v>
      </c>
      <c r="F540" s="69">
        <v>40</v>
      </c>
      <c r="G540" s="69">
        <v>14</v>
      </c>
      <c r="H540" s="69" t="s">
        <v>15</v>
      </c>
      <c r="I540" s="69"/>
      <c r="J540" s="140"/>
      <c r="K540" s="140" t="s">
        <v>1421</v>
      </c>
    </row>
    <row r="541" spans="1:11" ht="63.75" x14ac:dyDescent="0.2">
      <c r="A541" s="138">
        <v>506</v>
      </c>
      <c r="B541" s="139"/>
      <c r="C541" s="139" t="s">
        <v>999</v>
      </c>
      <c r="D541" s="141" t="s">
        <v>1000</v>
      </c>
      <c r="E541" s="69">
        <v>41</v>
      </c>
      <c r="F541" s="69">
        <v>42</v>
      </c>
      <c r="G541" s="69">
        <v>2</v>
      </c>
      <c r="H541" s="69" t="s">
        <v>18</v>
      </c>
      <c r="I541" s="69"/>
      <c r="J541" s="140"/>
      <c r="K541" s="140" t="s">
        <v>1422</v>
      </c>
    </row>
    <row r="542" spans="1:11" ht="25.5" x14ac:dyDescent="0.2">
      <c r="A542" s="138">
        <v>507</v>
      </c>
      <c r="B542" s="139"/>
      <c r="C542" s="139" t="s">
        <v>1002</v>
      </c>
      <c r="D542" s="141" t="s">
        <v>1003</v>
      </c>
      <c r="E542" s="69">
        <v>43</v>
      </c>
      <c r="F542" s="69">
        <v>62</v>
      </c>
      <c r="G542" s="69">
        <v>20</v>
      </c>
      <c r="H542" s="69" t="s">
        <v>15</v>
      </c>
      <c r="I542" s="69"/>
      <c r="J542" s="140"/>
      <c r="K542" s="140" t="s">
        <v>1004</v>
      </c>
    </row>
    <row r="543" spans="1:11" x14ac:dyDescent="0.2">
      <c r="A543" s="2">
        <v>508</v>
      </c>
      <c r="B543" s="139" t="s">
        <v>1423</v>
      </c>
      <c r="C543" s="139"/>
      <c r="D543" s="29"/>
      <c r="E543" s="28"/>
      <c r="F543" s="28"/>
      <c r="G543" s="28"/>
      <c r="H543" s="28"/>
      <c r="I543" s="28"/>
      <c r="J543" s="3"/>
      <c r="K543" s="3"/>
    </row>
    <row r="544" spans="1:11" x14ac:dyDescent="0.2">
      <c r="A544" s="2">
        <f t="shared" si="77"/>
        <v>509</v>
      </c>
      <c r="B544" s="10"/>
      <c r="C544" s="10"/>
      <c r="D544" s="29"/>
      <c r="E544" s="28"/>
      <c r="F544" s="28"/>
      <c r="G544" s="28"/>
      <c r="H544" s="28"/>
      <c r="I544" s="28"/>
      <c r="J544" s="3"/>
      <c r="K544" s="3"/>
    </row>
    <row r="545" spans="1:11" x14ac:dyDescent="0.2">
      <c r="A545" s="2">
        <f t="shared" si="77"/>
        <v>510</v>
      </c>
      <c r="B545" s="159" t="s">
        <v>1022</v>
      </c>
      <c r="C545" s="158"/>
      <c r="D545" s="29" t="s">
        <v>14</v>
      </c>
      <c r="E545" s="28">
        <f>$F$16+1</f>
        <v>7</v>
      </c>
      <c r="F545" s="28">
        <f>G545+$F$16</f>
        <v>9</v>
      </c>
      <c r="G545" s="28">
        <v>3</v>
      </c>
      <c r="H545" s="28" t="s">
        <v>18</v>
      </c>
      <c r="I545" s="28"/>
      <c r="J545" s="3"/>
      <c r="K545" s="158" t="s">
        <v>1023</v>
      </c>
    </row>
    <row r="546" spans="1:11" x14ac:dyDescent="0.2">
      <c r="A546" s="2">
        <f t="shared" si="77"/>
        <v>511</v>
      </c>
      <c r="B546" s="13"/>
      <c r="C546" s="10" t="s">
        <v>1024</v>
      </c>
      <c r="D546" s="56">
        <v>400</v>
      </c>
      <c r="E546" s="28">
        <f>F545+1</f>
        <v>10</v>
      </c>
      <c r="F546" s="28">
        <f>F545+G546</f>
        <v>509</v>
      </c>
      <c r="G546" s="18">
        <v>500</v>
      </c>
      <c r="H546" s="18" t="s">
        <v>15</v>
      </c>
      <c r="I546" s="18"/>
      <c r="J546" s="3"/>
      <c r="K546" s="3" t="s">
        <v>1025</v>
      </c>
    </row>
    <row r="547" spans="1:11" x14ac:dyDescent="0.2">
      <c r="A547" s="2">
        <f t="shared" si="77"/>
        <v>512</v>
      </c>
      <c r="B547" s="10"/>
      <c r="C547" s="10" t="s">
        <v>28</v>
      </c>
      <c r="D547" s="29" t="s">
        <v>14</v>
      </c>
      <c r="E547" s="28">
        <f>F546+1</f>
        <v>510</v>
      </c>
      <c r="F547" s="28">
        <v>600</v>
      </c>
      <c r="G547" s="28">
        <f>F547-F546</f>
        <v>91</v>
      </c>
      <c r="H547" s="28" t="s">
        <v>15</v>
      </c>
      <c r="I547" s="28"/>
      <c r="J547" s="3"/>
      <c r="K547" s="3" t="s">
        <v>29</v>
      </c>
    </row>
    <row r="548" spans="1:11" x14ac:dyDescent="0.2">
      <c r="A548" s="2">
        <f t="shared" si="77"/>
        <v>513</v>
      </c>
      <c r="B548" s="159" t="s">
        <v>1026</v>
      </c>
      <c r="C548" s="158"/>
      <c r="D548" s="29" t="s">
        <v>14</v>
      </c>
      <c r="E548" s="28">
        <f>$F$16+1</f>
        <v>7</v>
      </c>
      <c r="F548" s="28">
        <f>G548+$F$16</f>
        <v>9</v>
      </c>
      <c r="G548" s="28">
        <v>3</v>
      </c>
      <c r="H548" s="28" t="s">
        <v>18</v>
      </c>
      <c r="I548" s="28"/>
      <c r="J548" s="3"/>
      <c r="K548" s="158" t="s">
        <v>1027</v>
      </c>
    </row>
    <row r="549" spans="1:11" x14ac:dyDescent="0.2">
      <c r="A549" s="2">
        <f t="shared" si="77"/>
        <v>514</v>
      </c>
      <c r="B549" s="13"/>
      <c r="C549" s="10" t="s">
        <v>1028</v>
      </c>
      <c r="D549" s="56">
        <v>401</v>
      </c>
      <c r="E549" s="28">
        <f>F548+1</f>
        <v>10</v>
      </c>
      <c r="F549" s="28">
        <f>F548+G549</f>
        <v>509</v>
      </c>
      <c r="G549" s="18">
        <v>500</v>
      </c>
      <c r="H549" s="18" t="s">
        <v>15</v>
      </c>
      <c r="I549" s="18"/>
      <c r="J549" s="3"/>
      <c r="K549" s="3" t="s">
        <v>1029</v>
      </c>
    </row>
    <row r="550" spans="1:11" x14ac:dyDescent="0.2">
      <c r="A550" s="2">
        <f t="shared" si="77"/>
        <v>515</v>
      </c>
      <c r="B550" s="10"/>
      <c r="C550" s="10" t="s">
        <v>28</v>
      </c>
      <c r="D550" s="29" t="s">
        <v>14</v>
      </c>
      <c r="E550" s="28">
        <f>F549+1</f>
        <v>510</v>
      </c>
      <c r="F550" s="28">
        <v>600</v>
      </c>
      <c r="G550" s="28">
        <f>F550-F549</f>
        <v>91</v>
      </c>
      <c r="H550" s="28" t="s">
        <v>15</v>
      </c>
      <c r="I550" s="28"/>
      <c r="J550" s="3"/>
      <c r="K550" s="3" t="s">
        <v>29</v>
      </c>
    </row>
    <row r="551" spans="1:11" x14ac:dyDescent="0.2">
      <c r="A551" s="2">
        <f t="shared" si="77"/>
        <v>516</v>
      </c>
      <c r="B551" s="159" t="s">
        <v>1030</v>
      </c>
      <c r="C551" s="158"/>
      <c r="D551" s="29" t="s">
        <v>14</v>
      </c>
      <c r="E551" s="28">
        <f>$F$16+1</f>
        <v>7</v>
      </c>
      <c r="F551" s="28">
        <f>G551+$F$16</f>
        <v>9</v>
      </c>
      <c r="G551" s="28">
        <v>3</v>
      </c>
      <c r="H551" s="28" t="s">
        <v>18</v>
      </c>
      <c r="I551" s="28"/>
      <c r="J551" s="3"/>
      <c r="K551" s="158" t="s">
        <v>1031</v>
      </c>
    </row>
    <row r="552" spans="1:11" x14ac:dyDescent="0.2">
      <c r="A552" s="2">
        <f t="shared" si="77"/>
        <v>517</v>
      </c>
      <c r="B552" s="13"/>
      <c r="C552" s="10" t="s">
        <v>1032</v>
      </c>
      <c r="D552" s="56" t="s">
        <v>1033</v>
      </c>
      <c r="E552" s="28">
        <f>F551+1</f>
        <v>10</v>
      </c>
      <c r="F552" s="28">
        <f>F551+G552</f>
        <v>29</v>
      </c>
      <c r="G552" s="18">
        <v>20</v>
      </c>
      <c r="H552" s="18" t="s">
        <v>15</v>
      </c>
      <c r="I552" s="18"/>
      <c r="J552" s="3"/>
      <c r="K552" s="3"/>
    </row>
    <row r="553" spans="1:11" x14ac:dyDescent="0.2">
      <c r="A553" s="2">
        <f t="shared" si="77"/>
        <v>518</v>
      </c>
      <c r="B553" s="13"/>
      <c r="C553" s="10" t="s">
        <v>1034</v>
      </c>
      <c r="D553" s="56" t="s">
        <v>1035</v>
      </c>
      <c r="E553" s="28">
        <f>F552+1</f>
        <v>30</v>
      </c>
      <c r="F553" s="28">
        <f>F552+G553</f>
        <v>89</v>
      </c>
      <c r="G553" s="18">
        <v>60</v>
      </c>
      <c r="H553" s="18" t="s">
        <v>15</v>
      </c>
      <c r="I553" s="18"/>
      <c r="J553" s="3"/>
      <c r="K553" s="3"/>
    </row>
    <row r="554" spans="1:11" x14ac:dyDescent="0.2">
      <c r="A554" s="2">
        <f t="shared" si="77"/>
        <v>519</v>
      </c>
      <c r="B554" s="10"/>
      <c r="C554" s="10" t="s">
        <v>28</v>
      </c>
      <c r="D554" s="29" t="s">
        <v>14</v>
      </c>
      <c r="E554" s="28">
        <f>F553+1</f>
        <v>90</v>
      </c>
      <c r="F554" s="28">
        <v>600</v>
      </c>
      <c r="G554" s="28">
        <f>F554-F553</f>
        <v>511</v>
      </c>
      <c r="H554" s="28" t="s">
        <v>15</v>
      </c>
      <c r="I554" s="28"/>
      <c r="J554" s="3"/>
      <c r="K554" s="3" t="s">
        <v>29</v>
      </c>
    </row>
    <row r="555" spans="1:11" x14ac:dyDescent="0.2">
      <c r="A555" s="2">
        <f t="shared" si="77"/>
        <v>520</v>
      </c>
      <c r="B555" s="159" t="s">
        <v>1036</v>
      </c>
      <c r="C555" s="158"/>
      <c r="D555" s="29" t="s">
        <v>14</v>
      </c>
      <c r="E555" s="28">
        <f>$F$16+1</f>
        <v>7</v>
      </c>
      <c r="F555" s="28">
        <f>G555+$F$16</f>
        <v>9</v>
      </c>
      <c r="G555" s="28">
        <v>3</v>
      </c>
      <c r="H555" s="28" t="s">
        <v>18</v>
      </c>
      <c r="I555" s="28"/>
      <c r="J555" s="3"/>
      <c r="K555" s="158" t="s">
        <v>1037</v>
      </c>
    </row>
    <row r="556" spans="1:11" x14ac:dyDescent="0.2">
      <c r="A556" s="2">
        <f t="shared" si="77"/>
        <v>521</v>
      </c>
      <c r="B556" s="13"/>
      <c r="C556" s="10" t="s">
        <v>1038</v>
      </c>
      <c r="D556" s="56">
        <v>403</v>
      </c>
      <c r="E556" s="28">
        <f>F555+1</f>
        <v>10</v>
      </c>
      <c r="F556" s="28">
        <f>F555+G556</f>
        <v>11</v>
      </c>
      <c r="G556" s="18">
        <v>2</v>
      </c>
      <c r="H556" s="18" t="s">
        <v>15</v>
      </c>
      <c r="I556" s="18"/>
      <c r="J556" s="3"/>
      <c r="K556" s="3"/>
    </row>
    <row r="557" spans="1:11" x14ac:dyDescent="0.2">
      <c r="A557" s="2">
        <f t="shared" si="77"/>
        <v>522</v>
      </c>
      <c r="B557" s="13"/>
      <c r="C557" s="10" t="s">
        <v>1040</v>
      </c>
      <c r="D557" s="56">
        <v>404</v>
      </c>
      <c r="E557" s="28">
        <f>F556+1</f>
        <v>12</v>
      </c>
      <c r="F557" s="28">
        <f>F556+G557</f>
        <v>71</v>
      </c>
      <c r="G557" s="18">
        <v>60</v>
      </c>
      <c r="H557" s="18" t="s">
        <v>15</v>
      </c>
      <c r="I557" s="18"/>
      <c r="J557" s="3"/>
      <c r="K557" s="3"/>
    </row>
    <row r="558" spans="1:11" x14ac:dyDescent="0.2">
      <c r="A558" s="2">
        <f t="shared" si="77"/>
        <v>523</v>
      </c>
      <c r="B558" s="10"/>
      <c r="C558" s="10" t="s">
        <v>28</v>
      </c>
      <c r="D558" s="29" t="s">
        <v>14</v>
      </c>
      <c r="E558" s="28">
        <f>F557+1</f>
        <v>72</v>
      </c>
      <c r="F558" s="28">
        <v>600</v>
      </c>
      <c r="G558" s="28">
        <f>F558-F557</f>
        <v>529</v>
      </c>
      <c r="H558" s="28" t="s">
        <v>15</v>
      </c>
      <c r="I558" s="28"/>
      <c r="J558" s="3"/>
      <c r="K558" s="3" t="s">
        <v>29</v>
      </c>
    </row>
    <row r="559" spans="1:11" x14ac:dyDescent="0.2">
      <c r="A559" s="2">
        <f t="shared" si="77"/>
        <v>524</v>
      </c>
      <c r="B559" s="159" t="s">
        <v>1044</v>
      </c>
      <c r="C559" s="158"/>
      <c r="D559" s="29" t="s">
        <v>14</v>
      </c>
      <c r="E559" s="28">
        <f>$F$16+1</f>
        <v>7</v>
      </c>
      <c r="F559" s="28">
        <f>G559+$F$16</f>
        <v>9</v>
      </c>
      <c r="G559" s="28">
        <v>3</v>
      </c>
      <c r="H559" s="28" t="s">
        <v>18</v>
      </c>
      <c r="I559" s="28"/>
      <c r="J559" s="3"/>
      <c r="K559" s="158" t="s">
        <v>1045</v>
      </c>
    </row>
    <row r="560" spans="1:11" x14ac:dyDescent="0.2">
      <c r="A560" s="2">
        <f t="shared" si="77"/>
        <v>525</v>
      </c>
      <c r="B560" s="13"/>
      <c r="C560" s="10" t="s">
        <v>1046</v>
      </c>
      <c r="D560" s="56">
        <v>406</v>
      </c>
      <c r="E560" s="28">
        <f>F559+1</f>
        <v>10</v>
      </c>
      <c r="F560" s="28">
        <f>F559+G560</f>
        <v>26</v>
      </c>
      <c r="G560" s="18">
        <v>17</v>
      </c>
      <c r="H560" s="18" t="s">
        <v>15</v>
      </c>
      <c r="I560" s="18"/>
      <c r="J560" s="3"/>
      <c r="K560" s="3" t="s">
        <v>1053</v>
      </c>
    </row>
    <row r="561" spans="1:11" x14ac:dyDescent="0.2">
      <c r="A561" s="2">
        <f t="shared" si="77"/>
        <v>526</v>
      </c>
      <c r="B561" s="13"/>
      <c r="C561" s="10" t="s">
        <v>1048</v>
      </c>
      <c r="D561" s="56">
        <v>407</v>
      </c>
      <c r="E561" s="28">
        <f>F560+1</f>
        <v>27</v>
      </c>
      <c r="F561" s="28">
        <f>F560+G561</f>
        <v>86</v>
      </c>
      <c r="G561" s="18">
        <v>60</v>
      </c>
      <c r="H561" s="18" t="s">
        <v>15</v>
      </c>
      <c r="I561" s="18"/>
      <c r="J561" s="3"/>
      <c r="K561" s="3" t="s">
        <v>1049</v>
      </c>
    </row>
    <row r="562" spans="1:11" x14ac:dyDescent="0.2">
      <c r="A562" s="2">
        <f t="shared" si="77"/>
        <v>527</v>
      </c>
      <c r="B562" s="13"/>
      <c r="C562" s="10" t="s">
        <v>1050</v>
      </c>
      <c r="D562" s="56">
        <v>408</v>
      </c>
      <c r="E562" s="28">
        <f>F561+1</f>
        <v>87</v>
      </c>
      <c r="F562" s="28">
        <f>F561+G562</f>
        <v>146</v>
      </c>
      <c r="G562" s="18">
        <v>60</v>
      </c>
      <c r="H562" s="18" t="s">
        <v>15</v>
      </c>
      <c r="I562" s="18"/>
      <c r="J562" s="3"/>
      <c r="K562" s="3" t="s">
        <v>1051</v>
      </c>
    </row>
    <row r="563" spans="1:11" x14ac:dyDescent="0.2">
      <c r="A563" s="2">
        <f t="shared" si="77"/>
        <v>528</v>
      </c>
      <c r="B563" s="10"/>
      <c r="C563" s="10" t="s">
        <v>28</v>
      </c>
      <c r="D563" s="29" t="s">
        <v>14</v>
      </c>
      <c r="E563" s="28">
        <f>F562+1</f>
        <v>147</v>
      </c>
      <c r="F563" s="28">
        <v>600</v>
      </c>
      <c r="G563" s="28">
        <f>F563-F562</f>
        <v>454</v>
      </c>
      <c r="H563" s="28" t="s">
        <v>15</v>
      </c>
      <c r="I563" s="28"/>
      <c r="J563" s="3"/>
      <c r="K563" s="3" t="s">
        <v>29</v>
      </c>
    </row>
    <row r="564" spans="1:11" x14ac:dyDescent="0.2">
      <c r="A564" s="2">
        <f t="shared" si="77"/>
        <v>529</v>
      </c>
      <c r="B564" s="159" t="s">
        <v>1054</v>
      </c>
      <c r="C564" s="158"/>
      <c r="D564" s="29" t="s">
        <v>14</v>
      </c>
      <c r="E564" s="28">
        <f>$F$16+1</f>
        <v>7</v>
      </c>
      <c r="F564" s="28">
        <f>G564+$F$16</f>
        <v>9</v>
      </c>
      <c r="G564" s="28">
        <v>3</v>
      </c>
      <c r="H564" s="28" t="s">
        <v>18</v>
      </c>
      <c r="I564" s="28"/>
      <c r="J564" s="3"/>
      <c r="K564" s="158" t="s">
        <v>1055</v>
      </c>
    </row>
    <row r="565" spans="1:11" x14ac:dyDescent="0.2">
      <c r="A565" s="2">
        <f t="shared" si="77"/>
        <v>530</v>
      </c>
      <c r="B565" s="13"/>
      <c r="C565" s="10" t="s">
        <v>1056</v>
      </c>
      <c r="D565" s="56" t="s">
        <v>1057</v>
      </c>
      <c r="E565" s="28">
        <f>F564+1</f>
        <v>10</v>
      </c>
      <c r="F565" s="28">
        <f>F564+G565</f>
        <v>29</v>
      </c>
      <c r="G565" s="18">
        <v>20</v>
      </c>
      <c r="H565" s="18" t="s">
        <v>15</v>
      </c>
      <c r="I565" s="28"/>
      <c r="J565" s="3"/>
      <c r="K565" s="3"/>
    </row>
    <row r="566" spans="1:11" x14ac:dyDescent="0.2">
      <c r="A566" s="2">
        <f t="shared" si="77"/>
        <v>531</v>
      </c>
      <c r="B566" s="13"/>
      <c r="C566" s="10" t="s">
        <v>1058</v>
      </c>
      <c r="D566" s="56" t="s">
        <v>1059</v>
      </c>
      <c r="E566" s="28">
        <f>F565+1</f>
        <v>30</v>
      </c>
      <c r="F566" s="28">
        <f>F565+G566</f>
        <v>89</v>
      </c>
      <c r="G566" s="18">
        <v>60</v>
      </c>
      <c r="H566" s="18" t="s">
        <v>15</v>
      </c>
      <c r="I566" s="28"/>
      <c r="J566" s="3"/>
      <c r="K566" s="3"/>
    </row>
    <row r="567" spans="1:11" x14ac:dyDescent="0.2">
      <c r="A567" s="2">
        <f t="shared" si="77"/>
        <v>532</v>
      </c>
      <c r="B567" s="10"/>
      <c r="C567" s="10" t="s">
        <v>28</v>
      </c>
      <c r="D567" s="29" t="s">
        <v>14</v>
      </c>
      <c r="E567" s="28">
        <f>F566+1</f>
        <v>90</v>
      </c>
      <c r="F567" s="28">
        <v>600</v>
      </c>
      <c r="G567" s="28">
        <f>F567-F566</f>
        <v>511</v>
      </c>
      <c r="H567" s="28" t="s">
        <v>15</v>
      </c>
      <c r="I567" s="28"/>
      <c r="J567" s="3"/>
      <c r="K567" s="3" t="s">
        <v>29</v>
      </c>
    </row>
    <row r="568" spans="1:11" x14ac:dyDescent="0.2">
      <c r="A568" s="2">
        <f t="shared" si="77"/>
        <v>533</v>
      </c>
      <c r="B568" s="159" t="s">
        <v>1060</v>
      </c>
      <c r="C568" s="158"/>
      <c r="D568" s="29" t="s">
        <v>14</v>
      </c>
      <c r="E568" s="28">
        <f>$F$16+1</f>
        <v>7</v>
      </c>
      <c r="F568" s="28">
        <f>G568+$F$16</f>
        <v>9</v>
      </c>
      <c r="G568" s="28">
        <v>3</v>
      </c>
      <c r="H568" s="28" t="s">
        <v>18</v>
      </c>
      <c r="I568" s="28"/>
      <c r="J568" s="3"/>
      <c r="K568" s="158" t="s">
        <v>1061</v>
      </c>
    </row>
    <row r="569" spans="1:11" x14ac:dyDescent="0.2">
      <c r="A569" s="2">
        <f t="shared" si="77"/>
        <v>534</v>
      </c>
      <c r="B569" s="13"/>
      <c r="C569" s="10" t="s">
        <v>1062</v>
      </c>
      <c r="D569" s="56" t="s">
        <v>1063</v>
      </c>
      <c r="E569" s="28">
        <f>F568+1</f>
        <v>10</v>
      </c>
      <c r="F569" s="28">
        <f>F568+G569</f>
        <v>69</v>
      </c>
      <c r="G569" s="18">
        <v>60</v>
      </c>
      <c r="H569" s="18" t="s">
        <v>15</v>
      </c>
      <c r="I569" s="18"/>
      <c r="J569" s="3"/>
      <c r="K569" s="3"/>
    </row>
    <row r="570" spans="1:11" ht="76.5" x14ac:dyDescent="0.2">
      <c r="A570" s="2">
        <f t="shared" si="77"/>
        <v>535</v>
      </c>
      <c r="B570" s="13"/>
      <c r="C570" s="10" t="s">
        <v>1064</v>
      </c>
      <c r="D570" s="56" t="s">
        <v>1065</v>
      </c>
      <c r="E570" s="28">
        <f>F569+1</f>
        <v>70</v>
      </c>
      <c r="F570" s="28">
        <f>F569+G570</f>
        <v>70</v>
      </c>
      <c r="G570" s="18">
        <v>1</v>
      </c>
      <c r="H570" s="18" t="s">
        <v>18</v>
      </c>
      <c r="I570" s="18"/>
      <c r="J570" s="3"/>
      <c r="K570" s="3" t="s">
        <v>1066</v>
      </c>
    </row>
    <row r="571" spans="1:11" x14ac:dyDescent="0.2">
      <c r="A571" s="2">
        <f t="shared" si="77"/>
        <v>536</v>
      </c>
      <c r="B571" s="10"/>
      <c r="C571" s="10" t="s">
        <v>28</v>
      </c>
      <c r="D571" s="29" t="s">
        <v>14</v>
      </c>
      <c r="E571" s="28">
        <f>F570+1</f>
        <v>71</v>
      </c>
      <c r="F571" s="28">
        <v>600</v>
      </c>
      <c r="G571" s="28">
        <f>F571-F570</f>
        <v>530</v>
      </c>
      <c r="H571" s="28" t="s">
        <v>15</v>
      </c>
      <c r="I571" s="28"/>
      <c r="J571" s="3"/>
      <c r="K571" s="3" t="s">
        <v>29</v>
      </c>
    </row>
    <row r="572" spans="1:11" x14ac:dyDescent="0.2">
      <c r="A572" s="2">
        <f t="shared" si="77"/>
        <v>537</v>
      </c>
      <c r="B572" s="159" t="s">
        <v>1069</v>
      </c>
      <c r="C572" s="158"/>
      <c r="D572" s="29" t="s">
        <v>14</v>
      </c>
      <c r="E572" s="28">
        <f>$F$16+1</f>
        <v>7</v>
      </c>
      <c r="F572" s="28">
        <f>G572+$F$16</f>
        <v>9</v>
      </c>
      <c r="G572" s="28">
        <v>3</v>
      </c>
      <c r="H572" s="28" t="s">
        <v>18</v>
      </c>
      <c r="I572" s="28"/>
      <c r="J572" s="3"/>
      <c r="K572" s="158" t="s">
        <v>1070</v>
      </c>
    </row>
    <row r="573" spans="1:11" x14ac:dyDescent="0.2">
      <c r="A573" s="2">
        <f t="shared" si="77"/>
        <v>538</v>
      </c>
      <c r="B573" s="10"/>
      <c r="C573" s="10" t="s">
        <v>28</v>
      </c>
      <c r="D573" s="29" t="s">
        <v>14</v>
      </c>
      <c r="E573" s="28">
        <f>F572+1</f>
        <v>10</v>
      </c>
      <c r="F573" s="28">
        <v>600</v>
      </c>
      <c r="G573" s="28">
        <f>F573-F572</f>
        <v>591</v>
      </c>
      <c r="H573" s="28" t="s">
        <v>15</v>
      </c>
      <c r="I573" s="28"/>
      <c r="J573" s="3"/>
      <c r="K573" s="3" t="s">
        <v>29</v>
      </c>
    </row>
    <row r="574" spans="1:11" x14ac:dyDescent="0.2">
      <c r="A574" s="2">
        <f t="shared" si="77"/>
        <v>539</v>
      </c>
      <c r="B574" s="159" t="s">
        <v>1088</v>
      </c>
      <c r="C574" s="158"/>
      <c r="D574" s="29" t="s">
        <v>14</v>
      </c>
      <c r="E574" s="28">
        <f>$F$16+1</f>
        <v>7</v>
      </c>
      <c r="F574" s="28">
        <f>G574+$F$16</f>
        <v>9</v>
      </c>
      <c r="G574" s="28">
        <v>3</v>
      </c>
      <c r="H574" s="28" t="s">
        <v>18</v>
      </c>
      <c r="I574" s="28"/>
      <c r="J574" s="3"/>
      <c r="K574" s="158" t="s">
        <v>1089</v>
      </c>
    </row>
    <row r="575" spans="1:11" ht="15" customHeight="1" x14ac:dyDescent="0.2">
      <c r="A575" s="2">
        <f t="shared" si="77"/>
        <v>540</v>
      </c>
      <c r="B575" s="10"/>
      <c r="C575" s="10" t="s">
        <v>28</v>
      </c>
      <c r="D575" s="29" t="s">
        <v>14</v>
      </c>
      <c r="E575" s="28">
        <f>F574+1</f>
        <v>10</v>
      </c>
      <c r="F575" s="28">
        <v>600</v>
      </c>
      <c r="G575" s="28">
        <f>F575-F574</f>
        <v>591</v>
      </c>
      <c r="H575" s="28" t="s">
        <v>15</v>
      </c>
      <c r="I575" s="28"/>
      <c r="J575" s="3"/>
      <c r="K575" s="3" t="s">
        <v>29</v>
      </c>
    </row>
    <row r="576" spans="1:11" ht="17.25" customHeight="1" x14ac:dyDescent="0.2">
      <c r="A576" s="2"/>
      <c r="B576" s="10"/>
      <c r="C576" s="52"/>
      <c r="D576" s="29"/>
      <c r="E576" s="28"/>
      <c r="F576" s="28"/>
      <c r="G576" s="28"/>
      <c r="H576" s="28"/>
      <c r="I576" s="28"/>
      <c r="J576" s="3"/>
      <c r="K576" s="3"/>
    </row>
    <row r="577" spans="1:11" ht="81.75" customHeight="1" x14ac:dyDescent="0.2">
      <c r="A577" s="2"/>
      <c r="B577" s="177"/>
      <c r="C577" s="176" t="s">
        <v>1424</v>
      </c>
      <c r="D577" s="29"/>
      <c r="E577" s="28"/>
      <c r="F577" s="28"/>
      <c r="G577" s="28"/>
      <c r="H577" s="28"/>
      <c r="I577" s="28"/>
      <c r="J577" s="3"/>
      <c r="K577" s="3"/>
    </row>
    <row r="578" spans="1:11" ht="17.25" customHeight="1" x14ac:dyDescent="0.2">
      <c r="A578" s="2"/>
      <c r="B578" s="10"/>
      <c r="C578" s="52"/>
      <c r="D578" s="29"/>
      <c r="E578" s="28"/>
      <c r="F578" s="28"/>
      <c r="G578" s="28"/>
      <c r="H578" s="28"/>
      <c r="I578" s="28"/>
      <c r="J578" s="3"/>
      <c r="K578" s="3"/>
    </row>
    <row r="579" spans="1:11" x14ac:dyDescent="0.2">
      <c r="A579" s="2">
        <f>A575+1</f>
        <v>541</v>
      </c>
      <c r="B579" s="159" t="s">
        <v>1425</v>
      </c>
      <c r="C579" s="158"/>
      <c r="D579" s="29" t="s">
        <v>14</v>
      </c>
      <c r="E579" s="28">
        <f>$F$16+1</f>
        <v>7</v>
      </c>
      <c r="F579" s="28">
        <f>G579+$F$16</f>
        <v>9</v>
      </c>
      <c r="G579" s="28">
        <v>3</v>
      </c>
      <c r="H579" s="28" t="s">
        <v>18</v>
      </c>
      <c r="I579" s="28"/>
      <c r="J579" s="3"/>
      <c r="K579" s="158" t="s">
        <v>1123</v>
      </c>
    </row>
    <row r="580" spans="1:11" ht="15" x14ac:dyDescent="0.2">
      <c r="A580" s="2">
        <f t="shared" ref="A580:A600" si="78">A579+1</f>
        <v>542</v>
      </c>
      <c r="B580" s="13"/>
      <c r="C580" s="30" t="s">
        <v>1160</v>
      </c>
      <c r="D580" s="55">
        <v>17</v>
      </c>
      <c r="E580" s="28">
        <f t="shared" ref="E580:E587" si="79">F579+1</f>
        <v>10</v>
      </c>
      <c r="F580" s="28">
        <f t="shared" ref="F580:F587" si="80">F579+G580</f>
        <v>53</v>
      </c>
      <c r="G580" s="18">
        <v>44</v>
      </c>
      <c r="H580" s="18" t="s">
        <v>18</v>
      </c>
      <c r="I580" s="28"/>
      <c r="J580" s="3"/>
      <c r="K580" s="31" t="s">
        <v>1426</v>
      </c>
    </row>
    <row r="581" spans="1:11" ht="25.5" x14ac:dyDescent="0.2">
      <c r="A581" s="2">
        <f t="shared" si="78"/>
        <v>543</v>
      </c>
      <c r="B581" s="13"/>
      <c r="C581" s="30" t="s">
        <v>1165</v>
      </c>
      <c r="D581" s="55">
        <v>19</v>
      </c>
      <c r="E581" s="28">
        <f t="shared" si="79"/>
        <v>54</v>
      </c>
      <c r="F581" s="28">
        <f t="shared" si="80"/>
        <v>55</v>
      </c>
      <c r="G581" s="18">
        <v>2</v>
      </c>
      <c r="H581" s="18" t="s">
        <v>18</v>
      </c>
      <c r="I581" s="28"/>
      <c r="J581" s="3"/>
      <c r="K581" s="71" t="s">
        <v>1427</v>
      </c>
    </row>
    <row r="582" spans="1:11" ht="15" x14ac:dyDescent="0.2">
      <c r="A582" s="2">
        <f t="shared" si="78"/>
        <v>544</v>
      </c>
      <c r="B582" s="13"/>
      <c r="C582" s="30" t="s">
        <v>1168</v>
      </c>
      <c r="D582" s="55">
        <v>20</v>
      </c>
      <c r="E582" s="28">
        <f t="shared" si="79"/>
        <v>56</v>
      </c>
      <c r="F582" s="28">
        <f t="shared" si="80"/>
        <v>59</v>
      </c>
      <c r="G582" s="18">
        <v>4</v>
      </c>
      <c r="H582" s="18" t="s">
        <v>18</v>
      </c>
      <c r="I582" s="28"/>
      <c r="J582" s="3" t="s">
        <v>1170</v>
      </c>
      <c r="K582" s="70"/>
    </row>
    <row r="583" spans="1:11" ht="15.75" customHeight="1" x14ac:dyDescent="0.2">
      <c r="A583" s="2">
        <f t="shared" si="78"/>
        <v>545</v>
      </c>
      <c r="B583" s="13"/>
      <c r="C583" s="30" t="s">
        <v>1171</v>
      </c>
      <c r="D583" s="55">
        <v>21</v>
      </c>
      <c r="E583" s="28">
        <f t="shared" si="79"/>
        <v>60</v>
      </c>
      <c r="F583" s="28">
        <f t="shared" si="80"/>
        <v>73</v>
      </c>
      <c r="G583" s="18">
        <v>14</v>
      </c>
      <c r="H583" s="18" t="s">
        <v>15</v>
      </c>
      <c r="I583" s="28"/>
      <c r="J583" s="3"/>
      <c r="K583" s="70"/>
    </row>
    <row r="584" spans="1:11" ht="15" x14ac:dyDescent="0.2">
      <c r="A584" s="2">
        <f t="shared" si="78"/>
        <v>546</v>
      </c>
      <c r="B584" s="13"/>
      <c r="C584" s="30" t="s">
        <v>1173</v>
      </c>
      <c r="D584" s="55">
        <v>22</v>
      </c>
      <c r="E584" s="28">
        <f t="shared" si="79"/>
        <v>74</v>
      </c>
      <c r="F584" s="28">
        <f t="shared" si="80"/>
        <v>75</v>
      </c>
      <c r="G584" s="18">
        <v>2</v>
      </c>
      <c r="H584" s="18" t="s">
        <v>18</v>
      </c>
      <c r="I584" s="28"/>
      <c r="J584" s="3"/>
      <c r="K584" s="70"/>
    </row>
    <row r="585" spans="1:11" ht="15" x14ac:dyDescent="0.2">
      <c r="A585" s="2">
        <f t="shared" si="78"/>
        <v>547</v>
      </c>
      <c r="B585" s="13"/>
      <c r="C585" s="30" t="s">
        <v>1176</v>
      </c>
      <c r="D585" s="55">
        <v>23</v>
      </c>
      <c r="E585" s="28">
        <f t="shared" si="79"/>
        <v>76</v>
      </c>
      <c r="F585" s="28">
        <f t="shared" si="80"/>
        <v>78</v>
      </c>
      <c r="G585" s="18">
        <v>3</v>
      </c>
      <c r="H585" s="18" t="s">
        <v>18</v>
      </c>
      <c r="I585" s="28"/>
      <c r="J585" s="3"/>
      <c r="K585" s="70"/>
    </row>
    <row r="586" spans="1:11" ht="15" x14ac:dyDescent="0.2">
      <c r="A586" s="2">
        <f t="shared" si="78"/>
        <v>548</v>
      </c>
      <c r="B586" s="13"/>
      <c r="C586" s="30" t="s">
        <v>1178</v>
      </c>
      <c r="D586" s="55">
        <v>24</v>
      </c>
      <c r="E586" s="28">
        <f t="shared" si="79"/>
        <v>79</v>
      </c>
      <c r="F586" s="28">
        <f t="shared" si="80"/>
        <v>87</v>
      </c>
      <c r="G586" s="18">
        <v>9</v>
      </c>
      <c r="H586" s="18" t="s">
        <v>18</v>
      </c>
      <c r="I586" s="28"/>
      <c r="J586" s="3"/>
      <c r="K586" s="70"/>
    </row>
    <row r="587" spans="1:11" ht="15" x14ac:dyDescent="0.2">
      <c r="A587" s="2">
        <f t="shared" si="78"/>
        <v>549</v>
      </c>
      <c r="B587" s="13"/>
      <c r="C587" s="70" t="s">
        <v>1428</v>
      </c>
      <c r="D587" s="151" t="s">
        <v>1429</v>
      </c>
      <c r="E587" s="50">
        <f t="shared" si="79"/>
        <v>88</v>
      </c>
      <c r="F587" s="50">
        <f t="shared" si="80"/>
        <v>187</v>
      </c>
      <c r="G587" s="155">
        <f>SUM(G588:G596)</f>
        <v>100</v>
      </c>
      <c r="H587" s="155" t="s">
        <v>15</v>
      </c>
      <c r="I587" s="28"/>
      <c r="J587" s="3"/>
      <c r="K587" s="156" t="s">
        <v>1430</v>
      </c>
    </row>
    <row r="588" spans="1:11" ht="15" x14ac:dyDescent="0.2">
      <c r="A588" s="2">
        <f t="shared" si="78"/>
        <v>550</v>
      </c>
      <c r="B588" s="13"/>
      <c r="C588" s="70" t="s">
        <v>1182</v>
      </c>
      <c r="D588" s="55" t="s">
        <v>1431</v>
      </c>
      <c r="E588" s="28">
        <f>F586+1</f>
        <v>88</v>
      </c>
      <c r="F588" s="28">
        <f>F586+G588</f>
        <v>89</v>
      </c>
      <c r="G588" s="18">
        <v>2</v>
      </c>
      <c r="H588" s="18" t="s">
        <v>18</v>
      </c>
      <c r="I588" s="28"/>
      <c r="J588" s="3"/>
      <c r="K588" s="70" t="s">
        <v>1184</v>
      </c>
    </row>
    <row r="589" spans="1:11" ht="15" x14ac:dyDescent="0.2">
      <c r="A589" s="2">
        <f t="shared" si="78"/>
        <v>551</v>
      </c>
      <c r="B589" s="13"/>
      <c r="C589" s="70" t="s">
        <v>1185</v>
      </c>
      <c r="D589" s="55" t="s">
        <v>1432</v>
      </c>
      <c r="E589" s="28">
        <f t="shared" ref="E589:E597" si="81">F588+1</f>
        <v>90</v>
      </c>
      <c r="F589" s="28">
        <f t="shared" ref="F589:F597" si="82">F588+G589</f>
        <v>93</v>
      </c>
      <c r="G589" s="18">
        <v>4</v>
      </c>
      <c r="H589" s="18" t="s">
        <v>18</v>
      </c>
      <c r="I589" s="28"/>
      <c r="J589" s="3" t="s">
        <v>1170</v>
      </c>
      <c r="K589" s="70" t="s">
        <v>1185</v>
      </c>
    </row>
    <row r="590" spans="1:11" ht="15" x14ac:dyDescent="0.2">
      <c r="A590" s="2">
        <f t="shared" si="78"/>
        <v>552</v>
      </c>
      <c r="B590" s="13"/>
      <c r="C590" s="70" t="s">
        <v>1171</v>
      </c>
      <c r="D590" s="55" t="s">
        <v>1433</v>
      </c>
      <c r="E590" s="28">
        <f t="shared" si="81"/>
        <v>94</v>
      </c>
      <c r="F590" s="28">
        <f t="shared" si="82"/>
        <v>107</v>
      </c>
      <c r="G590" s="18">
        <v>14</v>
      </c>
      <c r="H590" s="18" t="s">
        <v>15</v>
      </c>
      <c r="I590" s="28"/>
      <c r="J590" s="3"/>
      <c r="K590" s="70" t="s">
        <v>1171</v>
      </c>
    </row>
    <row r="591" spans="1:11" ht="15" x14ac:dyDescent="0.2">
      <c r="A591" s="2">
        <f t="shared" si="78"/>
        <v>553</v>
      </c>
      <c r="B591" s="13"/>
      <c r="C591" s="70" t="s">
        <v>1188</v>
      </c>
      <c r="D591" s="55" t="s">
        <v>1434</v>
      </c>
      <c r="E591" s="28">
        <f t="shared" si="81"/>
        <v>108</v>
      </c>
      <c r="F591" s="28">
        <f t="shared" si="82"/>
        <v>118</v>
      </c>
      <c r="G591" s="18">
        <v>11</v>
      </c>
      <c r="H591" s="18" t="s">
        <v>15</v>
      </c>
      <c r="I591" s="28"/>
      <c r="J591" s="3"/>
      <c r="K591" s="70" t="s">
        <v>1188</v>
      </c>
    </row>
    <row r="592" spans="1:11" ht="15" x14ac:dyDescent="0.2">
      <c r="A592" s="2">
        <f t="shared" si="78"/>
        <v>554</v>
      </c>
      <c r="B592" s="13"/>
      <c r="C592" s="30" t="s">
        <v>1190</v>
      </c>
      <c r="D592" s="55" t="s">
        <v>1435</v>
      </c>
      <c r="E592" s="28">
        <f t="shared" si="81"/>
        <v>119</v>
      </c>
      <c r="F592" s="28">
        <f t="shared" si="82"/>
        <v>129</v>
      </c>
      <c r="G592" s="18">
        <v>11</v>
      </c>
      <c r="H592" s="18" t="s">
        <v>15</v>
      </c>
      <c r="I592" s="28"/>
      <c r="J592" s="3"/>
      <c r="K592" s="70" t="s">
        <v>1192</v>
      </c>
    </row>
    <row r="593" spans="1:11" ht="15" x14ac:dyDescent="0.2">
      <c r="A593" s="2">
        <f t="shared" si="78"/>
        <v>555</v>
      </c>
      <c r="B593" s="13"/>
      <c r="C593" s="30" t="s">
        <v>1193</v>
      </c>
      <c r="D593" s="55" t="s">
        <v>1436</v>
      </c>
      <c r="E593" s="28">
        <f t="shared" si="81"/>
        <v>130</v>
      </c>
      <c r="F593" s="28">
        <f t="shared" si="82"/>
        <v>131</v>
      </c>
      <c r="G593" s="18">
        <v>2</v>
      </c>
      <c r="H593" s="18" t="s">
        <v>18</v>
      </c>
      <c r="I593" s="28"/>
      <c r="J593" s="3"/>
      <c r="K593" s="70" t="s">
        <v>1195</v>
      </c>
    </row>
    <row r="594" spans="1:11" ht="25.5" x14ac:dyDescent="0.2">
      <c r="A594" s="2">
        <f t="shared" si="78"/>
        <v>556</v>
      </c>
      <c r="B594" s="13"/>
      <c r="C594" s="30" t="s">
        <v>1196</v>
      </c>
      <c r="D594" s="55" t="s">
        <v>1437</v>
      </c>
      <c r="E594" s="28">
        <f t="shared" si="81"/>
        <v>132</v>
      </c>
      <c r="F594" s="28">
        <f t="shared" si="82"/>
        <v>134</v>
      </c>
      <c r="G594" s="18">
        <v>3</v>
      </c>
      <c r="H594" s="18" t="s">
        <v>18</v>
      </c>
      <c r="I594" s="28"/>
      <c r="J594" s="3"/>
      <c r="K594" s="70" t="s">
        <v>1198</v>
      </c>
    </row>
    <row r="595" spans="1:11" ht="15" x14ac:dyDescent="0.2">
      <c r="A595" s="2">
        <f t="shared" si="78"/>
        <v>557</v>
      </c>
      <c r="B595" s="13"/>
      <c r="C595" s="30" t="s">
        <v>1199</v>
      </c>
      <c r="D595" s="55" t="s">
        <v>1437</v>
      </c>
      <c r="E595" s="28">
        <f t="shared" si="81"/>
        <v>135</v>
      </c>
      <c r="F595" s="28">
        <f t="shared" si="82"/>
        <v>143</v>
      </c>
      <c r="G595" s="18">
        <v>9</v>
      </c>
      <c r="H595" s="18" t="s">
        <v>18</v>
      </c>
      <c r="I595" s="28"/>
      <c r="J595" s="3"/>
      <c r="K595" s="70" t="s">
        <v>1201</v>
      </c>
    </row>
    <row r="596" spans="1:11" ht="15" x14ac:dyDescent="0.2">
      <c r="A596" s="2">
        <f t="shared" si="78"/>
        <v>558</v>
      </c>
      <c r="B596" s="13"/>
      <c r="C596" s="30" t="s">
        <v>1204</v>
      </c>
      <c r="D596" s="55" t="s">
        <v>1438</v>
      </c>
      <c r="E596" s="28">
        <f t="shared" si="81"/>
        <v>144</v>
      </c>
      <c r="F596" s="28">
        <f t="shared" si="82"/>
        <v>187</v>
      </c>
      <c r="G596" s="18">
        <v>44</v>
      </c>
      <c r="H596" s="18" t="s">
        <v>18</v>
      </c>
      <c r="I596" s="28"/>
      <c r="J596" s="3"/>
      <c r="K596" s="70" t="s">
        <v>1206</v>
      </c>
    </row>
    <row r="597" spans="1:11" ht="12.75" customHeight="1" x14ac:dyDescent="0.2">
      <c r="A597" s="2">
        <f t="shared" si="78"/>
        <v>559</v>
      </c>
      <c r="B597" s="13"/>
      <c r="C597" s="30" t="s">
        <v>1439</v>
      </c>
      <c r="D597" s="151" t="s">
        <v>1440</v>
      </c>
      <c r="E597" s="50">
        <f t="shared" si="81"/>
        <v>188</v>
      </c>
      <c r="F597" s="50">
        <f t="shared" si="82"/>
        <v>198</v>
      </c>
      <c r="G597" s="155">
        <f>SUM(G598:G600)</f>
        <v>11</v>
      </c>
      <c r="H597" s="155" t="s">
        <v>15</v>
      </c>
      <c r="I597" s="28"/>
      <c r="J597" s="3"/>
      <c r="K597" s="156" t="s">
        <v>1430</v>
      </c>
    </row>
    <row r="598" spans="1:11" ht="51" x14ac:dyDescent="0.2">
      <c r="A598" s="2">
        <f t="shared" si="78"/>
        <v>560</v>
      </c>
      <c r="B598" s="13"/>
      <c r="C598" s="30" t="s">
        <v>1173</v>
      </c>
      <c r="D598" s="55" t="s">
        <v>1441</v>
      </c>
      <c r="E598" s="28">
        <f>G596+1</f>
        <v>45</v>
      </c>
      <c r="F598" s="28">
        <f>F596+G598</f>
        <v>189</v>
      </c>
      <c r="G598" s="18">
        <v>2</v>
      </c>
      <c r="H598" s="18" t="s">
        <v>15</v>
      </c>
      <c r="I598" s="28"/>
      <c r="J598" s="3"/>
      <c r="K598" s="70" t="s">
        <v>1210</v>
      </c>
    </row>
    <row r="599" spans="1:11" ht="15" x14ac:dyDescent="0.2">
      <c r="A599" s="2">
        <f t="shared" si="78"/>
        <v>561</v>
      </c>
      <c r="B599" s="13"/>
      <c r="C599" s="30" t="s">
        <v>1211</v>
      </c>
      <c r="D599" s="55" t="s">
        <v>1442</v>
      </c>
      <c r="E599" s="28">
        <f>F598+1</f>
        <v>190</v>
      </c>
      <c r="F599" s="28">
        <f>F598+G599</f>
        <v>192</v>
      </c>
      <c r="G599" s="18">
        <v>3</v>
      </c>
      <c r="H599" s="18" t="s">
        <v>18</v>
      </c>
      <c r="I599" s="28"/>
      <c r="J599" s="3"/>
      <c r="K599" s="70" t="s">
        <v>1213</v>
      </c>
    </row>
    <row r="600" spans="1:11" ht="15" x14ac:dyDescent="0.2">
      <c r="A600" s="2">
        <f t="shared" si="78"/>
        <v>562</v>
      </c>
      <c r="B600" s="13"/>
      <c r="C600" s="30" t="s">
        <v>1214</v>
      </c>
      <c r="D600" s="55" t="s">
        <v>1443</v>
      </c>
      <c r="E600" s="28">
        <f>F599+1</f>
        <v>193</v>
      </c>
      <c r="F600" s="28">
        <f>F599+G600</f>
        <v>198</v>
      </c>
      <c r="G600" s="18">
        <v>6</v>
      </c>
      <c r="H600" s="18" t="s">
        <v>18</v>
      </c>
      <c r="I600" s="28"/>
      <c r="J600" s="3"/>
      <c r="K600" s="70" t="s">
        <v>1216</v>
      </c>
    </row>
    <row r="601" spans="1:11" x14ac:dyDescent="0.2">
      <c r="A601" s="2">
        <f>A586+1</f>
        <v>549</v>
      </c>
      <c r="B601" s="10"/>
      <c r="C601" s="10" t="s">
        <v>28</v>
      </c>
      <c r="D601" s="29" t="s">
        <v>14</v>
      </c>
      <c r="E601" s="28">
        <f>F600+1</f>
        <v>199</v>
      </c>
      <c r="F601" s="28">
        <v>600</v>
      </c>
      <c r="G601" s="28">
        <f>F601-F600</f>
        <v>402</v>
      </c>
      <c r="H601" s="28" t="s">
        <v>15</v>
      </c>
      <c r="I601" s="28"/>
      <c r="J601" s="3"/>
      <c r="K601" s="3" t="s">
        <v>29</v>
      </c>
    </row>
    <row r="602" spans="1:11" x14ac:dyDescent="0.2">
      <c r="A602" s="2">
        <f t="shared" ref="A602:A629" si="83">A601+1</f>
        <v>550</v>
      </c>
      <c r="B602" s="159" t="s">
        <v>1124</v>
      </c>
      <c r="C602" s="158"/>
      <c r="D602" s="29" t="s">
        <v>14</v>
      </c>
      <c r="E602" s="28">
        <f>$F$16+1</f>
        <v>7</v>
      </c>
      <c r="F602" s="28">
        <f>G602+$F$16</f>
        <v>9</v>
      </c>
      <c r="G602" s="28">
        <v>3</v>
      </c>
      <c r="H602" s="28" t="s">
        <v>18</v>
      </c>
      <c r="I602" s="28"/>
      <c r="J602" s="3"/>
      <c r="K602" s="158" t="s">
        <v>1125</v>
      </c>
    </row>
    <row r="603" spans="1:11" x14ac:dyDescent="0.2">
      <c r="A603" s="2">
        <f t="shared" si="83"/>
        <v>551</v>
      </c>
      <c r="B603" s="18"/>
      <c r="C603" s="10" t="s">
        <v>28</v>
      </c>
      <c r="D603" s="29" t="s">
        <v>14</v>
      </c>
      <c r="E603" s="28">
        <f>F602+1</f>
        <v>10</v>
      </c>
      <c r="F603" s="28">
        <v>600</v>
      </c>
      <c r="G603" s="28">
        <f>F603-F602</f>
        <v>591</v>
      </c>
      <c r="H603" s="28" t="s">
        <v>15</v>
      </c>
      <c r="I603" s="28"/>
      <c r="J603" s="3"/>
      <c r="K603" s="3" t="s">
        <v>29</v>
      </c>
    </row>
    <row r="604" spans="1:11" x14ac:dyDescent="0.2">
      <c r="A604" s="2">
        <f t="shared" si="83"/>
        <v>552</v>
      </c>
      <c r="B604" s="159" t="s">
        <v>1139</v>
      </c>
      <c r="C604" s="158"/>
      <c r="D604" s="29" t="s">
        <v>14</v>
      </c>
      <c r="E604" s="28">
        <f>$F$16+1</f>
        <v>7</v>
      </c>
      <c r="F604" s="28">
        <f>G604+$F$16</f>
        <v>9</v>
      </c>
      <c r="G604" s="28">
        <v>3</v>
      </c>
      <c r="H604" s="28" t="s">
        <v>18</v>
      </c>
      <c r="I604" s="28"/>
      <c r="J604" s="3"/>
      <c r="K604" s="158" t="s">
        <v>1140</v>
      </c>
    </row>
    <row r="605" spans="1:11" ht="15" customHeight="1" x14ac:dyDescent="0.2">
      <c r="A605" s="2">
        <f t="shared" si="83"/>
        <v>553</v>
      </c>
      <c r="B605" s="67">
        <v>1</v>
      </c>
      <c r="C605" s="14" t="s">
        <v>695</v>
      </c>
      <c r="D605" s="25" t="s">
        <v>701</v>
      </c>
      <c r="E605" s="15">
        <v>10</v>
      </c>
      <c r="F605" s="15">
        <v>12</v>
      </c>
      <c r="G605" s="15">
        <v>3</v>
      </c>
      <c r="H605" s="15" t="s">
        <v>15</v>
      </c>
      <c r="I605" s="15"/>
      <c r="J605" s="21"/>
      <c r="K605" s="22" t="s">
        <v>1141</v>
      </c>
    </row>
    <row r="606" spans="1:11" ht="15" customHeight="1" x14ac:dyDescent="0.2">
      <c r="A606" s="2">
        <f t="shared" si="83"/>
        <v>554</v>
      </c>
      <c r="B606" s="67">
        <v>2</v>
      </c>
      <c r="C606" s="66" t="s">
        <v>1142</v>
      </c>
      <c r="D606" s="63" t="s">
        <v>701</v>
      </c>
      <c r="E606" s="62">
        <f t="shared" ref="E606:E615" si="84">F605+1</f>
        <v>13</v>
      </c>
      <c r="F606" s="62">
        <f t="shared" ref="F606:F615" si="85">F605+G606</f>
        <v>14</v>
      </c>
      <c r="G606" s="65">
        <v>2</v>
      </c>
      <c r="H606" s="65" t="s">
        <v>15</v>
      </c>
      <c r="I606" s="15"/>
      <c r="J606" s="21"/>
      <c r="K606" s="22" t="s">
        <v>1143</v>
      </c>
    </row>
    <row r="607" spans="1:11" ht="15" customHeight="1" x14ac:dyDescent="0.2">
      <c r="A607" s="2">
        <f t="shared" si="83"/>
        <v>555</v>
      </c>
      <c r="B607" s="67">
        <v>3</v>
      </c>
      <c r="C607" s="66" t="s">
        <v>1144</v>
      </c>
      <c r="D607" s="63" t="s">
        <v>701</v>
      </c>
      <c r="E607" s="62">
        <f t="shared" si="84"/>
        <v>15</v>
      </c>
      <c r="F607" s="62">
        <f t="shared" si="85"/>
        <v>34</v>
      </c>
      <c r="G607" s="65">
        <v>20</v>
      </c>
      <c r="H607" s="65" t="s">
        <v>15</v>
      </c>
      <c r="I607" s="15"/>
      <c r="J607" s="21"/>
      <c r="K607" s="22"/>
    </row>
    <row r="608" spans="1:11" ht="15" customHeight="1" x14ac:dyDescent="0.2">
      <c r="A608" s="2">
        <f t="shared" si="83"/>
        <v>556</v>
      </c>
      <c r="B608" s="67">
        <v>4</v>
      </c>
      <c r="C608" s="66" t="s">
        <v>1145</v>
      </c>
      <c r="D608" s="63" t="s">
        <v>701</v>
      </c>
      <c r="E608" s="62">
        <f t="shared" si="84"/>
        <v>35</v>
      </c>
      <c r="F608" s="62">
        <f t="shared" si="85"/>
        <v>54</v>
      </c>
      <c r="G608" s="65">
        <v>20</v>
      </c>
      <c r="H608" s="65" t="s">
        <v>15</v>
      </c>
      <c r="I608" s="15"/>
      <c r="J608" s="21"/>
      <c r="K608" s="22"/>
    </row>
    <row r="609" spans="1:11" ht="15" customHeight="1" x14ac:dyDescent="0.2">
      <c r="A609" s="2">
        <f t="shared" si="83"/>
        <v>557</v>
      </c>
      <c r="B609" s="67">
        <v>5</v>
      </c>
      <c r="C609" s="66" t="s">
        <v>1146</v>
      </c>
      <c r="D609" s="63" t="s">
        <v>701</v>
      </c>
      <c r="E609" s="62">
        <f t="shared" si="84"/>
        <v>55</v>
      </c>
      <c r="F609" s="62">
        <f t="shared" si="85"/>
        <v>74</v>
      </c>
      <c r="G609" s="65">
        <v>20</v>
      </c>
      <c r="H609" s="65" t="s">
        <v>15</v>
      </c>
      <c r="I609" s="15"/>
      <c r="J609" s="21"/>
      <c r="K609" s="22"/>
    </row>
    <row r="610" spans="1:11" ht="15" customHeight="1" x14ac:dyDescent="0.2">
      <c r="A610" s="2">
        <f t="shared" si="83"/>
        <v>558</v>
      </c>
      <c r="B610" s="67">
        <v>6</v>
      </c>
      <c r="C610" s="66" t="s">
        <v>1147</v>
      </c>
      <c r="D610" s="63" t="s">
        <v>701</v>
      </c>
      <c r="E610" s="62">
        <f t="shared" si="84"/>
        <v>75</v>
      </c>
      <c r="F610" s="62">
        <f t="shared" si="85"/>
        <v>94</v>
      </c>
      <c r="G610" s="65">
        <v>20</v>
      </c>
      <c r="H610" s="65" t="s">
        <v>15</v>
      </c>
      <c r="I610" s="15"/>
      <c r="J610" s="21"/>
      <c r="K610" s="22"/>
    </row>
    <row r="611" spans="1:11" ht="15" customHeight="1" x14ac:dyDescent="0.2">
      <c r="A611" s="2">
        <f t="shared" si="83"/>
        <v>559</v>
      </c>
      <c r="B611" s="67">
        <v>7</v>
      </c>
      <c r="C611" s="66" t="s">
        <v>1148</v>
      </c>
      <c r="D611" s="63" t="s">
        <v>701</v>
      </c>
      <c r="E611" s="62">
        <f t="shared" si="84"/>
        <v>95</v>
      </c>
      <c r="F611" s="62">
        <f t="shared" si="85"/>
        <v>96</v>
      </c>
      <c r="G611" s="65">
        <v>2</v>
      </c>
      <c r="H611" s="65" t="s">
        <v>15</v>
      </c>
      <c r="I611" s="15"/>
      <c r="J611" s="21"/>
      <c r="K611" s="22"/>
    </row>
    <row r="612" spans="1:11" ht="15" customHeight="1" x14ac:dyDescent="0.2">
      <c r="A612" s="2">
        <f t="shared" si="83"/>
        <v>560</v>
      </c>
      <c r="B612" s="67">
        <v>8</v>
      </c>
      <c r="C612" s="66" t="s">
        <v>1149</v>
      </c>
      <c r="D612" s="63" t="s">
        <v>701</v>
      </c>
      <c r="E612" s="62">
        <f t="shared" si="84"/>
        <v>97</v>
      </c>
      <c r="F612" s="62">
        <f t="shared" si="85"/>
        <v>100</v>
      </c>
      <c r="G612" s="65">
        <v>4</v>
      </c>
      <c r="H612" s="65" t="s">
        <v>15</v>
      </c>
      <c r="I612" s="15"/>
      <c r="J612" s="21"/>
      <c r="K612" s="22"/>
    </row>
    <row r="613" spans="1:11" ht="15" customHeight="1" x14ac:dyDescent="0.2">
      <c r="A613" s="2">
        <f t="shared" si="83"/>
        <v>561</v>
      </c>
      <c r="B613" s="67">
        <v>9</v>
      </c>
      <c r="C613" s="66" t="s">
        <v>1150</v>
      </c>
      <c r="D613" s="63" t="s">
        <v>701</v>
      </c>
      <c r="E613" s="62">
        <f t="shared" si="84"/>
        <v>101</v>
      </c>
      <c r="F613" s="62">
        <f t="shared" si="85"/>
        <v>108</v>
      </c>
      <c r="G613" s="65">
        <v>8</v>
      </c>
      <c r="H613" s="65" t="s">
        <v>15</v>
      </c>
      <c r="I613" s="15"/>
      <c r="J613" s="21"/>
      <c r="K613" s="22"/>
    </row>
    <row r="614" spans="1:11" ht="15" customHeight="1" x14ac:dyDescent="0.2">
      <c r="A614" s="2">
        <f t="shared" si="83"/>
        <v>562</v>
      </c>
      <c r="B614" s="67">
        <v>10</v>
      </c>
      <c r="C614" s="66" t="s">
        <v>1151</v>
      </c>
      <c r="D614" s="63" t="s">
        <v>701</v>
      </c>
      <c r="E614" s="62">
        <f t="shared" si="84"/>
        <v>109</v>
      </c>
      <c r="F614" s="62">
        <f t="shared" si="85"/>
        <v>128</v>
      </c>
      <c r="G614" s="65">
        <v>20</v>
      </c>
      <c r="H614" s="65" t="s">
        <v>15</v>
      </c>
      <c r="I614" s="15"/>
      <c r="J614" s="21"/>
      <c r="K614" s="22" t="s">
        <v>1152</v>
      </c>
    </row>
    <row r="615" spans="1:11" ht="15" customHeight="1" x14ac:dyDescent="0.2">
      <c r="A615" s="2">
        <f t="shared" si="83"/>
        <v>563</v>
      </c>
      <c r="B615" s="18"/>
      <c r="C615" s="64" t="s">
        <v>28</v>
      </c>
      <c r="D615" s="63"/>
      <c r="E615" s="62">
        <f t="shared" si="84"/>
        <v>129</v>
      </c>
      <c r="F615" s="62">
        <f t="shared" si="85"/>
        <v>599</v>
      </c>
      <c r="G615" s="62">
        <v>471</v>
      </c>
      <c r="H615" s="62" t="s">
        <v>15</v>
      </c>
      <c r="I615" s="15"/>
      <c r="J615" s="21"/>
      <c r="K615" s="22"/>
    </row>
    <row r="616" spans="1:11" x14ac:dyDescent="0.2">
      <c r="A616" s="2">
        <f t="shared" si="83"/>
        <v>564</v>
      </c>
      <c r="B616" s="159" t="s">
        <v>1153</v>
      </c>
      <c r="C616" s="158"/>
      <c r="D616" s="29" t="s">
        <v>14</v>
      </c>
      <c r="E616" s="28">
        <f>$F$16+1</f>
        <v>7</v>
      </c>
      <c r="F616" s="28">
        <f>G616+$F$16</f>
        <v>9</v>
      </c>
      <c r="G616" s="28">
        <v>3</v>
      </c>
      <c r="H616" s="28" t="s">
        <v>18</v>
      </c>
      <c r="I616" s="28"/>
      <c r="J616" s="3"/>
      <c r="K616" s="158" t="s">
        <v>1154</v>
      </c>
    </row>
    <row r="617" spans="1:11" ht="15" x14ac:dyDescent="0.2">
      <c r="A617" s="2">
        <f t="shared" si="83"/>
        <v>565</v>
      </c>
      <c r="B617" s="10"/>
      <c r="C617" s="30" t="s">
        <v>1155</v>
      </c>
      <c r="D617" s="56">
        <v>396</v>
      </c>
      <c r="E617" s="28">
        <f>F616+1</f>
        <v>10</v>
      </c>
      <c r="F617" s="28">
        <f>F616+G617</f>
        <v>10</v>
      </c>
      <c r="G617" s="18">
        <v>1</v>
      </c>
      <c r="H617" s="18" t="s">
        <v>18</v>
      </c>
      <c r="I617" s="18"/>
      <c r="J617" s="3"/>
      <c r="K617" s="3" t="s">
        <v>1156</v>
      </c>
    </row>
    <row r="618" spans="1:11" ht="15" x14ac:dyDescent="0.2">
      <c r="A618" s="2">
        <f t="shared" si="83"/>
        <v>566</v>
      </c>
      <c r="B618" s="10"/>
      <c r="C618" s="30" t="s">
        <v>1157</v>
      </c>
      <c r="D618" s="56">
        <v>396</v>
      </c>
      <c r="E618" s="28">
        <f>F617+1</f>
        <v>11</v>
      </c>
      <c r="F618" s="28">
        <v>600</v>
      </c>
      <c r="G618" s="18">
        <f>F618-E618</f>
        <v>589</v>
      </c>
      <c r="H618" s="18" t="s">
        <v>15</v>
      </c>
      <c r="I618" s="18"/>
      <c r="J618" s="3"/>
      <c r="K618" s="3"/>
    </row>
    <row r="619" spans="1:11" x14ac:dyDescent="0.2">
      <c r="A619" s="2">
        <v>520</v>
      </c>
      <c r="B619" s="159" t="s">
        <v>1158</v>
      </c>
      <c r="C619" s="158"/>
      <c r="D619" s="29" t="s">
        <v>14</v>
      </c>
      <c r="E619" s="28">
        <f>$F$16+1</f>
        <v>7</v>
      </c>
      <c r="F619" s="28">
        <f>G619+$F$16</f>
        <v>9</v>
      </c>
      <c r="G619" s="28">
        <v>3</v>
      </c>
      <c r="H619" s="28" t="s">
        <v>18</v>
      </c>
      <c r="I619" s="28"/>
      <c r="J619" s="3"/>
      <c r="K619" s="158" t="s">
        <v>1159</v>
      </c>
    </row>
    <row r="620" spans="1:11" ht="15" x14ac:dyDescent="0.2">
      <c r="A620" s="2">
        <f t="shared" si="83"/>
        <v>521</v>
      </c>
      <c r="B620" s="157">
        <v>1</v>
      </c>
      <c r="C620" s="30" t="s">
        <v>1160</v>
      </c>
      <c r="D620" s="181" t="s">
        <v>1161</v>
      </c>
      <c r="E620" s="28">
        <f>F619+1</f>
        <v>10</v>
      </c>
      <c r="F620" s="28">
        <f>F619+G620</f>
        <v>53</v>
      </c>
      <c r="G620" s="18">
        <v>44</v>
      </c>
      <c r="H620" s="18" t="s">
        <v>18</v>
      </c>
      <c r="I620" s="18"/>
      <c r="J620" s="3"/>
      <c r="K620" s="3"/>
    </row>
    <row r="621" spans="1:11" x14ac:dyDescent="0.2">
      <c r="A621" s="2">
        <f t="shared" si="83"/>
        <v>522</v>
      </c>
      <c r="B621" s="10"/>
      <c r="C621" s="10" t="s">
        <v>28</v>
      </c>
      <c r="D621" s="29" t="s">
        <v>14</v>
      </c>
      <c r="E621" s="28">
        <f>F620+1</f>
        <v>54</v>
      </c>
      <c r="F621" s="28">
        <v>600</v>
      </c>
      <c r="G621" s="18">
        <f>F621-E621</f>
        <v>546</v>
      </c>
      <c r="H621" s="18" t="s">
        <v>15</v>
      </c>
      <c r="I621" s="18"/>
      <c r="J621" s="3"/>
      <c r="K621" s="3"/>
    </row>
    <row r="622" spans="1:11" x14ac:dyDescent="0.2">
      <c r="A622" s="2">
        <v>523</v>
      </c>
      <c r="B622" s="159" t="s">
        <v>1444</v>
      </c>
      <c r="C622" s="158"/>
      <c r="D622" s="29" t="s">
        <v>14</v>
      </c>
      <c r="E622" s="28">
        <f>$F$16+1</f>
        <v>7</v>
      </c>
      <c r="F622" s="28">
        <f>G622+$F$16</f>
        <v>9</v>
      </c>
      <c r="G622" s="28">
        <v>3</v>
      </c>
      <c r="H622" s="28" t="s">
        <v>18</v>
      </c>
      <c r="I622" s="28"/>
      <c r="J622" s="3"/>
      <c r="K622" s="158" t="s">
        <v>1164</v>
      </c>
    </row>
    <row r="623" spans="1:11" ht="15" x14ac:dyDescent="0.2">
      <c r="A623" s="2">
        <f t="shared" si="83"/>
        <v>524</v>
      </c>
      <c r="B623" s="157">
        <v>1</v>
      </c>
      <c r="C623" s="30" t="s">
        <v>1165</v>
      </c>
      <c r="D623" s="178" t="s">
        <v>1166</v>
      </c>
      <c r="E623" s="28">
        <f t="shared" ref="E623:E629" si="86">F622+1</f>
        <v>10</v>
      </c>
      <c r="F623" s="28">
        <f t="shared" ref="F623:F628" si="87">F622+G623</f>
        <v>11</v>
      </c>
      <c r="G623" s="18">
        <v>2</v>
      </c>
      <c r="H623" s="18" t="s">
        <v>18</v>
      </c>
      <c r="I623" s="28"/>
      <c r="J623" s="3"/>
      <c r="K623" s="71" t="s">
        <v>1167</v>
      </c>
    </row>
    <row r="624" spans="1:11" ht="15" x14ac:dyDescent="0.2">
      <c r="A624" s="2">
        <f t="shared" si="83"/>
        <v>525</v>
      </c>
      <c r="B624" s="157">
        <v>2</v>
      </c>
      <c r="C624" s="30" t="s">
        <v>1168</v>
      </c>
      <c r="D624" s="178" t="s">
        <v>1169</v>
      </c>
      <c r="E624" s="28">
        <f t="shared" si="86"/>
        <v>12</v>
      </c>
      <c r="F624" s="28">
        <f t="shared" si="87"/>
        <v>15</v>
      </c>
      <c r="G624" s="18">
        <v>4</v>
      </c>
      <c r="H624" s="18" t="s">
        <v>18</v>
      </c>
      <c r="I624" s="28"/>
      <c r="J624" s="3" t="s">
        <v>1170</v>
      </c>
      <c r="K624" s="70"/>
    </row>
    <row r="625" spans="1:11" ht="15.75" customHeight="1" x14ac:dyDescent="0.2">
      <c r="A625" s="2">
        <f t="shared" si="83"/>
        <v>526</v>
      </c>
      <c r="B625" s="157">
        <v>3</v>
      </c>
      <c r="C625" s="30" t="s">
        <v>1171</v>
      </c>
      <c r="D625" s="178" t="s">
        <v>1172</v>
      </c>
      <c r="E625" s="28">
        <f t="shared" si="86"/>
        <v>16</v>
      </c>
      <c r="F625" s="28">
        <f t="shared" si="87"/>
        <v>29</v>
      </c>
      <c r="G625" s="18">
        <v>14</v>
      </c>
      <c r="H625" s="18" t="s">
        <v>15</v>
      </c>
      <c r="I625" s="28"/>
      <c r="J625" s="3"/>
      <c r="K625" s="70"/>
    </row>
    <row r="626" spans="1:11" ht="15" x14ac:dyDescent="0.2">
      <c r="A626" s="2">
        <f t="shared" si="83"/>
        <v>527</v>
      </c>
      <c r="B626" s="157">
        <v>4</v>
      </c>
      <c r="C626" s="30" t="s">
        <v>1173</v>
      </c>
      <c r="D626" s="178" t="s">
        <v>1174</v>
      </c>
      <c r="E626" s="28">
        <f t="shared" si="86"/>
        <v>30</v>
      </c>
      <c r="F626" s="28">
        <f t="shared" si="87"/>
        <v>31</v>
      </c>
      <c r="G626" s="18">
        <v>2</v>
      </c>
      <c r="H626" s="18" t="s">
        <v>18</v>
      </c>
      <c r="I626" s="28"/>
      <c r="J626" s="3"/>
      <c r="K626" s="70"/>
    </row>
    <row r="627" spans="1:11" ht="15" x14ac:dyDescent="0.2">
      <c r="A627" s="2">
        <f t="shared" si="83"/>
        <v>528</v>
      </c>
      <c r="B627" s="157">
        <v>5</v>
      </c>
      <c r="C627" s="30" t="s">
        <v>1176</v>
      </c>
      <c r="D627" s="178" t="s">
        <v>1177</v>
      </c>
      <c r="E627" s="28">
        <f t="shared" si="86"/>
        <v>32</v>
      </c>
      <c r="F627" s="28">
        <f t="shared" si="87"/>
        <v>34</v>
      </c>
      <c r="G627" s="18">
        <v>3</v>
      </c>
      <c r="H627" s="18" t="s">
        <v>18</v>
      </c>
      <c r="I627" s="28"/>
      <c r="J627" s="3"/>
      <c r="K627" s="70"/>
    </row>
    <row r="628" spans="1:11" ht="15" x14ac:dyDescent="0.2">
      <c r="A628" s="2">
        <f t="shared" si="83"/>
        <v>529</v>
      </c>
      <c r="B628" s="157">
        <v>6</v>
      </c>
      <c r="C628" s="30" t="s">
        <v>1178</v>
      </c>
      <c r="D628" s="178" t="s">
        <v>1179</v>
      </c>
      <c r="E628" s="28">
        <f t="shared" si="86"/>
        <v>35</v>
      </c>
      <c r="F628" s="28">
        <f t="shared" si="87"/>
        <v>43</v>
      </c>
      <c r="G628" s="18">
        <v>9</v>
      </c>
      <c r="H628" s="18" t="s">
        <v>18</v>
      </c>
      <c r="I628" s="28"/>
      <c r="J628" s="3"/>
      <c r="K628" s="70"/>
    </row>
    <row r="629" spans="1:11" x14ac:dyDescent="0.2">
      <c r="A629" s="2">
        <f t="shared" si="83"/>
        <v>530</v>
      </c>
      <c r="B629" s="157"/>
      <c r="C629" s="10" t="s">
        <v>28</v>
      </c>
      <c r="D629" s="56" t="s">
        <v>14</v>
      </c>
      <c r="E629" s="28">
        <f t="shared" si="86"/>
        <v>44</v>
      </c>
      <c r="F629" s="28">
        <v>600</v>
      </c>
      <c r="G629" s="18">
        <f>F629-E629</f>
        <v>556</v>
      </c>
      <c r="H629" s="18"/>
      <c r="I629" s="28"/>
      <c r="J629" s="3"/>
      <c r="K629" s="3" t="s">
        <v>29</v>
      </c>
    </row>
    <row r="630" spans="1:11" x14ac:dyDescent="0.2">
      <c r="A630" s="2">
        <v>531</v>
      </c>
      <c r="B630" s="159" t="s">
        <v>1180</v>
      </c>
      <c r="C630" s="158"/>
      <c r="D630" s="29" t="s">
        <v>14</v>
      </c>
      <c r="E630" s="28">
        <f>$F$16+1</f>
        <v>7</v>
      </c>
      <c r="F630" s="28">
        <f>G630+$F$16</f>
        <v>9</v>
      </c>
      <c r="G630" s="28">
        <v>3</v>
      </c>
      <c r="H630" s="28" t="s">
        <v>18</v>
      </c>
      <c r="I630" s="28"/>
      <c r="J630" s="3"/>
      <c r="K630" s="158" t="s">
        <v>1181</v>
      </c>
    </row>
    <row r="631" spans="1:11" ht="15" x14ac:dyDescent="0.2">
      <c r="A631" s="2">
        <f t="shared" ref="A631:A647" si="88">A630+1</f>
        <v>532</v>
      </c>
      <c r="B631" s="13"/>
      <c r="C631" s="70" t="s">
        <v>1182</v>
      </c>
      <c r="D631" s="178" t="s">
        <v>1183</v>
      </c>
      <c r="E631" s="146">
        <f t="shared" ref="E631:E639" si="89">F630+1</f>
        <v>10</v>
      </c>
      <c r="F631" s="146">
        <f t="shared" ref="F631:F638" si="90">F630+G631</f>
        <v>11</v>
      </c>
      <c r="G631" s="18">
        <v>2</v>
      </c>
      <c r="H631" s="18" t="s">
        <v>18</v>
      </c>
      <c r="I631" s="28"/>
      <c r="J631" s="3"/>
      <c r="K631" s="70" t="s">
        <v>1184</v>
      </c>
    </row>
    <row r="632" spans="1:11" ht="15" x14ac:dyDescent="0.2">
      <c r="A632" s="2">
        <f t="shared" si="88"/>
        <v>533</v>
      </c>
      <c r="B632" s="13"/>
      <c r="C632" s="70" t="s">
        <v>1185</v>
      </c>
      <c r="D632" s="178" t="s">
        <v>1186</v>
      </c>
      <c r="E632" s="146">
        <f t="shared" si="89"/>
        <v>12</v>
      </c>
      <c r="F632" s="28">
        <f t="shared" si="90"/>
        <v>15</v>
      </c>
      <c r="G632" s="18">
        <v>4</v>
      </c>
      <c r="H632" s="18" t="s">
        <v>18</v>
      </c>
      <c r="I632" s="28"/>
      <c r="J632" s="3" t="s">
        <v>1170</v>
      </c>
      <c r="K632" s="70" t="s">
        <v>1185</v>
      </c>
    </row>
    <row r="633" spans="1:11" ht="15" x14ac:dyDescent="0.2">
      <c r="A633" s="2">
        <f t="shared" si="88"/>
        <v>534</v>
      </c>
      <c r="B633" s="13"/>
      <c r="C633" s="70" t="s">
        <v>1171</v>
      </c>
      <c r="D633" s="178" t="s">
        <v>1187</v>
      </c>
      <c r="E633" s="146">
        <f t="shared" si="89"/>
        <v>16</v>
      </c>
      <c r="F633" s="28">
        <f t="shared" si="90"/>
        <v>29</v>
      </c>
      <c r="G633" s="18">
        <v>14</v>
      </c>
      <c r="H633" s="18" t="s">
        <v>15</v>
      </c>
      <c r="I633" s="28"/>
      <c r="J633" s="3"/>
      <c r="K633" s="70" t="s">
        <v>1171</v>
      </c>
    </row>
    <row r="634" spans="1:11" ht="15" x14ac:dyDescent="0.2">
      <c r="A634" s="2">
        <f t="shared" si="88"/>
        <v>535</v>
      </c>
      <c r="B634" s="13"/>
      <c r="C634" s="70" t="s">
        <v>1188</v>
      </c>
      <c r="D634" s="178" t="s">
        <v>1189</v>
      </c>
      <c r="E634" s="28">
        <f t="shared" si="89"/>
        <v>30</v>
      </c>
      <c r="F634" s="28">
        <f t="shared" si="90"/>
        <v>40</v>
      </c>
      <c r="G634" s="18">
        <v>11</v>
      </c>
      <c r="H634" s="18" t="s">
        <v>15</v>
      </c>
      <c r="I634" s="28"/>
      <c r="J634" s="3"/>
      <c r="K634" s="70" t="s">
        <v>1188</v>
      </c>
    </row>
    <row r="635" spans="1:11" ht="15" x14ac:dyDescent="0.2">
      <c r="A635" s="2">
        <f t="shared" si="88"/>
        <v>536</v>
      </c>
      <c r="B635" s="13"/>
      <c r="C635" s="30" t="s">
        <v>1190</v>
      </c>
      <c r="D635" s="178" t="s">
        <v>1191</v>
      </c>
      <c r="E635" s="28">
        <f t="shared" si="89"/>
        <v>41</v>
      </c>
      <c r="F635" s="28">
        <f t="shared" si="90"/>
        <v>54</v>
      </c>
      <c r="G635" s="18">
        <v>14</v>
      </c>
      <c r="H635" s="18" t="s">
        <v>15</v>
      </c>
      <c r="I635" s="28"/>
      <c r="J635" s="3"/>
      <c r="K635" s="70" t="s">
        <v>1192</v>
      </c>
    </row>
    <row r="636" spans="1:11" ht="15" x14ac:dyDescent="0.2">
      <c r="A636" s="2">
        <f t="shared" si="88"/>
        <v>537</v>
      </c>
      <c r="B636" s="13"/>
      <c r="C636" s="30" t="s">
        <v>1193</v>
      </c>
      <c r="D636" s="178" t="s">
        <v>1194</v>
      </c>
      <c r="E636" s="28">
        <f t="shared" si="89"/>
        <v>55</v>
      </c>
      <c r="F636" s="28">
        <f t="shared" si="90"/>
        <v>56</v>
      </c>
      <c r="G636" s="18">
        <v>2</v>
      </c>
      <c r="H636" s="18" t="s">
        <v>18</v>
      </c>
      <c r="I636" s="28"/>
      <c r="J636" s="3"/>
      <c r="K636" s="70" t="s">
        <v>1195</v>
      </c>
    </row>
    <row r="637" spans="1:11" ht="25.5" x14ac:dyDescent="0.2">
      <c r="A637" s="2">
        <f t="shared" si="88"/>
        <v>538</v>
      </c>
      <c r="B637" s="13"/>
      <c r="C637" s="30" t="s">
        <v>1196</v>
      </c>
      <c r="D637" s="178" t="s">
        <v>1197</v>
      </c>
      <c r="E637" s="28">
        <f t="shared" si="89"/>
        <v>57</v>
      </c>
      <c r="F637" s="28">
        <f t="shared" si="90"/>
        <v>59</v>
      </c>
      <c r="G637" s="18">
        <v>3</v>
      </c>
      <c r="H637" s="18" t="s">
        <v>18</v>
      </c>
      <c r="I637" s="28"/>
      <c r="J637" s="3"/>
      <c r="K637" s="70" t="s">
        <v>1198</v>
      </c>
    </row>
    <row r="638" spans="1:11" ht="15" x14ac:dyDescent="0.2">
      <c r="A638" s="2">
        <f t="shared" si="88"/>
        <v>539</v>
      </c>
      <c r="B638" s="13"/>
      <c r="C638" s="30" t="s">
        <v>1199</v>
      </c>
      <c r="D638" s="178" t="s">
        <v>1200</v>
      </c>
      <c r="E638" s="28">
        <f t="shared" si="89"/>
        <v>60</v>
      </c>
      <c r="F638" s="28">
        <f t="shared" si="90"/>
        <v>68</v>
      </c>
      <c r="G638" s="18">
        <v>9</v>
      </c>
      <c r="H638" s="18" t="s">
        <v>18</v>
      </c>
      <c r="I638" s="28"/>
      <c r="J638" s="3"/>
      <c r="K638" s="70" t="s">
        <v>1201</v>
      </c>
    </row>
    <row r="639" spans="1:11" ht="15" x14ac:dyDescent="0.2">
      <c r="A639" s="2">
        <f t="shared" si="88"/>
        <v>540</v>
      </c>
      <c r="B639" s="10"/>
      <c r="C639" s="30" t="s">
        <v>28</v>
      </c>
      <c r="D639" s="57" t="s">
        <v>14</v>
      </c>
      <c r="E639" s="28">
        <f t="shared" si="89"/>
        <v>69</v>
      </c>
      <c r="F639" s="28">
        <v>600</v>
      </c>
      <c r="G639" s="18">
        <f>F639-E639</f>
        <v>531</v>
      </c>
      <c r="H639" s="18" t="s">
        <v>18</v>
      </c>
      <c r="I639" s="18"/>
      <c r="J639" s="3"/>
      <c r="K639" s="3" t="s">
        <v>29</v>
      </c>
    </row>
    <row r="640" spans="1:11" x14ac:dyDescent="0.2">
      <c r="A640" s="2">
        <v>541</v>
      </c>
      <c r="B640" s="159" t="s">
        <v>1202</v>
      </c>
      <c r="C640" s="158"/>
      <c r="D640" s="29" t="s">
        <v>14</v>
      </c>
      <c r="E640" s="28">
        <f>$F$16+1</f>
        <v>7</v>
      </c>
      <c r="F640" s="28">
        <f>G640+$F$16</f>
        <v>9</v>
      </c>
      <c r="G640" s="28">
        <v>3</v>
      </c>
      <c r="H640" s="28" t="s">
        <v>18</v>
      </c>
      <c r="I640" s="28"/>
      <c r="J640" s="3"/>
      <c r="K640" s="158" t="s">
        <v>1203</v>
      </c>
    </row>
    <row r="641" spans="1:11" ht="15" x14ac:dyDescent="0.2">
      <c r="A641" s="2">
        <f t="shared" si="88"/>
        <v>542</v>
      </c>
      <c r="B641" s="13"/>
      <c r="C641" s="30" t="s">
        <v>1204</v>
      </c>
      <c r="D641" s="178" t="s">
        <v>1205</v>
      </c>
      <c r="E641" s="28">
        <f>F640+1</f>
        <v>10</v>
      </c>
      <c r="F641" s="28">
        <f>F640+G641</f>
        <v>53</v>
      </c>
      <c r="G641" s="18">
        <v>44</v>
      </c>
      <c r="H641" s="18" t="s">
        <v>18</v>
      </c>
      <c r="I641" s="28"/>
      <c r="J641" s="3"/>
      <c r="K641" s="70" t="s">
        <v>1206</v>
      </c>
    </row>
    <row r="642" spans="1:11" ht="15" x14ac:dyDescent="0.2">
      <c r="A642" s="2">
        <f t="shared" si="88"/>
        <v>543</v>
      </c>
      <c r="B642" s="10"/>
      <c r="C642" s="30" t="s">
        <v>28</v>
      </c>
      <c r="D642" s="56" t="s">
        <v>14</v>
      </c>
      <c r="E642" s="28">
        <f>F641+1</f>
        <v>54</v>
      </c>
      <c r="F642" s="28">
        <v>600</v>
      </c>
      <c r="G642" s="18">
        <f>F642-E642</f>
        <v>546</v>
      </c>
      <c r="H642" s="18" t="s">
        <v>15</v>
      </c>
      <c r="I642" s="18"/>
      <c r="J642" s="3"/>
      <c r="K642" s="3" t="s">
        <v>29</v>
      </c>
    </row>
    <row r="643" spans="1:11" x14ac:dyDescent="0.2">
      <c r="A643" s="2">
        <v>544</v>
      </c>
      <c r="B643" s="159" t="s">
        <v>1207</v>
      </c>
      <c r="C643" s="158"/>
      <c r="D643" s="29" t="s">
        <v>14</v>
      </c>
      <c r="E643" s="28">
        <f>$F$16+1</f>
        <v>7</v>
      </c>
      <c r="F643" s="28">
        <f>G643+$F$16</f>
        <v>9</v>
      </c>
      <c r="G643" s="28">
        <v>3</v>
      </c>
      <c r="H643" s="28" t="s">
        <v>18</v>
      </c>
      <c r="I643" s="28"/>
      <c r="J643" s="3"/>
      <c r="K643" s="158" t="s">
        <v>1208</v>
      </c>
    </row>
    <row r="644" spans="1:11" ht="54.75" customHeight="1" x14ac:dyDescent="0.2">
      <c r="A644" s="2">
        <f t="shared" si="88"/>
        <v>545</v>
      </c>
      <c r="B644" s="13"/>
      <c r="C644" s="30" t="s">
        <v>1173</v>
      </c>
      <c r="D644" s="178" t="s">
        <v>1209</v>
      </c>
      <c r="E644" s="146">
        <f>F643+1</f>
        <v>10</v>
      </c>
      <c r="F644" s="146">
        <f>F643+G644</f>
        <v>11</v>
      </c>
      <c r="G644" s="18">
        <v>2</v>
      </c>
      <c r="H644" s="18" t="s">
        <v>15</v>
      </c>
      <c r="I644" s="28"/>
      <c r="J644" s="3"/>
      <c r="K644" s="70" t="s">
        <v>1210</v>
      </c>
    </row>
    <row r="645" spans="1:11" ht="15" x14ac:dyDescent="0.2">
      <c r="A645" s="2">
        <f t="shared" si="88"/>
        <v>546</v>
      </c>
      <c r="B645" s="13"/>
      <c r="C645" s="30" t="s">
        <v>1211</v>
      </c>
      <c r="D645" s="178" t="s">
        <v>1212</v>
      </c>
      <c r="E645" s="28">
        <f>F644+1</f>
        <v>12</v>
      </c>
      <c r="F645" s="28">
        <f>F644+G645</f>
        <v>14</v>
      </c>
      <c r="G645" s="18">
        <v>3</v>
      </c>
      <c r="H645" s="18" t="s">
        <v>18</v>
      </c>
      <c r="I645" s="28"/>
      <c r="J645" s="3"/>
      <c r="K645" s="70" t="s">
        <v>1213</v>
      </c>
    </row>
    <row r="646" spans="1:11" ht="15" x14ac:dyDescent="0.2">
      <c r="A646" s="2">
        <f t="shared" si="88"/>
        <v>547</v>
      </c>
      <c r="B646" s="13"/>
      <c r="C646" s="30" t="s">
        <v>1214</v>
      </c>
      <c r="D646" s="178" t="s">
        <v>1215</v>
      </c>
      <c r="E646" s="28">
        <f>F645+1</f>
        <v>15</v>
      </c>
      <c r="F646" s="28">
        <f>F645+G646</f>
        <v>20</v>
      </c>
      <c r="G646" s="18">
        <v>6</v>
      </c>
      <c r="H646" s="18" t="s">
        <v>18</v>
      </c>
      <c r="I646" s="28"/>
      <c r="J646" s="3"/>
      <c r="K646" s="70" t="s">
        <v>1216</v>
      </c>
    </row>
    <row r="647" spans="1:11" x14ac:dyDescent="0.2">
      <c r="A647" s="2">
        <f t="shared" si="88"/>
        <v>548</v>
      </c>
      <c r="B647" s="10"/>
      <c r="C647" s="10" t="s">
        <v>28</v>
      </c>
      <c r="D647" s="29" t="s">
        <v>14</v>
      </c>
      <c r="E647" s="28">
        <f>F646+1</f>
        <v>21</v>
      </c>
      <c r="F647" s="28">
        <v>600</v>
      </c>
      <c r="G647" s="18">
        <f>F647-E647</f>
        <v>579</v>
      </c>
      <c r="H647" s="28" t="s">
        <v>15</v>
      </c>
      <c r="I647" s="28"/>
      <c r="J647" s="3"/>
      <c r="K647" s="3" t="s">
        <v>29</v>
      </c>
    </row>
    <row r="648" spans="1:11" x14ac:dyDescent="0.2">
      <c r="A648" s="2">
        <v>549</v>
      </c>
      <c r="B648" s="139" t="s">
        <v>1445</v>
      </c>
      <c r="C648" s="139"/>
      <c r="D648" s="29"/>
      <c r="E648" s="28"/>
      <c r="F648" s="28"/>
      <c r="G648" s="28"/>
      <c r="H648" s="28"/>
      <c r="I648" s="28"/>
      <c r="J648" s="3"/>
      <c r="K648" s="38"/>
    </row>
    <row r="649" spans="1:11" x14ac:dyDescent="0.2">
      <c r="A649" s="7" t="s">
        <v>2</v>
      </c>
      <c r="B649" s="12" t="s">
        <v>3</v>
      </c>
      <c r="C649" s="8"/>
      <c r="D649" s="59"/>
      <c r="E649" s="7" t="s">
        <v>5</v>
      </c>
      <c r="F649" s="7" t="s">
        <v>6</v>
      </c>
      <c r="G649" s="7" t="s">
        <v>7</v>
      </c>
      <c r="H649" s="7" t="s">
        <v>8</v>
      </c>
      <c r="I649" s="7" t="s">
        <v>9</v>
      </c>
      <c r="J649" s="7" t="s">
        <v>10</v>
      </c>
      <c r="K649" s="8" t="s">
        <v>11</v>
      </c>
    </row>
    <row r="650" spans="1:11" x14ac:dyDescent="0.2">
      <c r="A650" s="330" t="s">
        <v>1226</v>
      </c>
      <c r="B650" s="331"/>
      <c r="C650" s="331"/>
      <c r="D650" s="60"/>
      <c r="E650" s="40"/>
      <c r="F650" s="40"/>
      <c r="G650" s="40"/>
      <c r="H650" s="40"/>
      <c r="I650" s="40"/>
      <c r="J650" s="40"/>
      <c r="K650" s="41"/>
    </row>
    <row r="651" spans="1:11" x14ac:dyDescent="0.2">
      <c r="A651" s="2">
        <v>1</v>
      </c>
      <c r="B651" s="10" t="s">
        <v>13</v>
      </c>
      <c r="C651" s="3"/>
      <c r="D651" s="29" t="s">
        <v>14</v>
      </c>
      <c r="E651" s="28">
        <v>1</v>
      </c>
      <c r="F651" s="28">
        <f>G651</f>
        <v>6</v>
      </c>
      <c r="G651" s="28">
        <v>6</v>
      </c>
      <c r="H651" s="28" t="s">
        <v>15</v>
      </c>
      <c r="I651" s="28"/>
      <c r="J651" s="3"/>
      <c r="K651" s="3" t="s">
        <v>1227</v>
      </c>
    </row>
    <row r="652" spans="1:11" x14ac:dyDescent="0.2">
      <c r="A652" s="2">
        <v>2</v>
      </c>
      <c r="B652" s="10" t="s">
        <v>17</v>
      </c>
      <c r="C652" s="3"/>
      <c r="D652" s="29" t="s">
        <v>14</v>
      </c>
      <c r="E652" s="28">
        <f t="shared" ref="E652:E658" si="91">F651+1</f>
        <v>7</v>
      </c>
      <c r="F652" s="28">
        <f t="shared" ref="F652:F657" si="92">F651+G652</f>
        <v>14</v>
      </c>
      <c r="G652" s="28">
        <v>8</v>
      </c>
      <c r="H652" s="28" t="s">
        <v>18</v>
      </c>
      <c r="I652" s="28"/>
      <c r="J652" s="3" t="s">
        <v>19</v>
      </c>
      <c r="K652" s="3" t="s">
        <v>1228</v>
      </c>
    </row>
    <row r="653" spans="1:11" x14ac:dyDescent="0.2">
      <c r="A653" s="2">
        <v>3</v>
      </c>
      <c r="B653" s="10" t="s">
        <v>21</v>
      </c>
      <c r="C653" s="3"/>
      <c r="D653" s="29" t="s">
        <v>14</v>
      </c>
      <c r="E653" s="28">
        <f t="shared" si="91"/>
        <v>15</v>
      </c>
      <c r="F653" s="28">
        <f t="shared" si="92"/>
        <v>23</v>
      </c>
      <c r="G653" s="28">
        <v>9</v>
      </c>
      <c r="H653" s="28" t="s">
        <v>18</v>
      </c>
      <c r="I653" s="28"/>
      <c r="J653" s="3" t="s">
        <v>22</v>
      </c>
      <c r="K653" s="3" t="s">
        <v>1228</v>
      </c>
    </row>
    <row r="654" spans="1:11" x14ac:dyDescent="0.2">
      <c r="A654" s="2">
        <v>4</v>
      </c>
      <c r="B654" s="10" t="s">
        <v>24</v>
      </c>
      <c r="C654" s="3"/>
      <c r="D654" s="29" t="s">
        <v>14</v>
      </c>
      <c r="E654" s="28">
        <f t="shared" si="91"/>
        <v>24</v>
      </c>
      <c r="F654" s="28">
        <f t="shared" si="92"/>
        <v>48</v>
      </c>
      <c r="G654" s="28">
        <v>25</v>
      </c>
      <c r="H654" s="28" t="s">
        <v>15</v>
      </c>
      <c r="I654" s="28"/>
      <c r="J654" s="3"/>
      <c r="K654" s="3" t="s">
        <v>1228</v>
      </c>
    </row>
    <row r="655" spans="1:11" x14ac:dyDescent="0.2">
      <c r="A655" s="2">
        <v>5</v>
      </c>
      <c r="B655" s="10" t="s">
        <v>26</v>
      </c>
      <c r="C655" s="3"/>
      <c r="D655" s="29" t="s">
        <v>14</v>
      </c>
      <c r="E655" s="28">
        <f t="shared" si="91"/>
        <v>49</v>
      </c>
      <c r="F655" s="28">
        <f t="shared" si="92"/>
        <v>62</v>
      </c>
      <c r="G655" s="28">
        <v>14</v>
      </c>
      <c r="H655" s="28" t="s">
        <v>18</v>
      </c>
      <c r="I655" s="28"/>
      <c r="J655" s="3"/>
      <c r="K655" s="3" t="s">
        <v>1228</v>
      </c>
    </row>
    <row r="656" spans="1:11" x14ac:dyDescent="0.2">
      <c r="A656" s="2">
        <v>6</v>
      </c>
      <c r="B656" s="10" t="s">
        <v>1229</v>
      </c>
      <c r="C656" s="3"/>
      <c r="D656" s="29" t="s">
        <v>14</v>
      </c>
      <c r="E656" s="28">
        <f t="shared" si="91"/>
        <v>63</v>
      </c>
      <c r="F656" s="28">
        <f t="shared" si="92"/>
        <v>68</v>
      </c>
      <c r="G656" s="28">
        <v>6</v>
      </c>
      <c r="H656" s="28" t="s">
        <v>18</v>
      </c>
      <c r="I656" s="28"/>
      <c r="J656" s="3"/>
      <c r="K656" s="3" t="s">
        <v>1230</v>
      </c>
    </row>
    <row r="657" spans="1:11" ht="25.5" x14ac:dyDescent="0.2">
      <c r="A657" s="2">
        <v>7</v>
      </c>
      <c r="B657" s="10" t="s">
        <v>1231</v>
      </c>
      <c r="C657" s="3"/>
      <c r="D657" s="29" t="s">
        <v>14</v>
      </c>
      <c r="E657" s="28">
        <f t="shared" si="91"/>
        <v>69</v>
      </c>
      <c r="F657" s="28">
        <f t="shared" si="92"/>
        <v>70</v>
      </c>
      <c r="G657" s="28">
        <v>2</v>
      </c>
      <c r="H657" s="28" t="s">
        <v>18</v>
      </c>
      <c r="I657" s="28"/>
      <c r="J657" s="3"/>
      <c r="K657" s="3" t="s">
        <v>1232</v>
      </c>
    </row>
    <row r="658" spans="1:11" x14ac:dyDescent="0.2">
      <c r="A658" s="2">
        <v>8</v>
      </c>
      <c r="B658" s="10" t="s">
        <v>28</v>
      </c>
      <c r="C658" s="3"/>
      <c r="D658" s="29" t="s">
        <v>14</v>
      </c>
      <c r="E658" s="28">
        <f t="shared" si="91"/>
        <v>71</v>
      </c>
      <c r="F658" s="28">
        <v>600</v>
      </c>
      <c r="G658" s="28">
        <f>F658-F657</f>
        <v>530</v>
      </c>
      <c r="H658" s="28" t="s">
        <v>15</v>
      </c>
      <c r="I658" s="28"/>
      <c r="J658" s="3"/>
      <c r="K658" s="3" t="s">
        <v>29</v>
      </c>
    </row>
    <row r="659" spans="1:11" x14ac:dyDescent="0.2">
      <c r="B659" s="11"/>
      <c r="D659" s="58"/>
      <c r="E659" s="4"/>
      <c r="F659" s="4"/>
      <c r="G659" s="4"/>
      <c r="H659" s="4"/>
      <c r="I659" s="4"/>
    </row>
    <row r="660" spans="1:11" x14ac:dyDescent="0.2">
      <c r="A660" s="332" t="s">
        <v>1233</v>
      </c>
      <c r="B660" s="333"/>
      <c r="C660" s="334"/>
      <c r="D660" s="58"/>
      <c r="E660" s="4"/>
      <c r="F660" s="4"/>
      <c r="G660" s="4"/>
      <c r="H660" s="4"/>
      <c r="I660" s="4"/>
    </row>
    <row r="661" spans="1:11" x14ac:dyDescent="0.2">
      <c r="A661" s="327" t="s">
        <v>1234</v>
      </c>
      <c r="B661" s="328"/>
      <c r="C661" s="329"/>
      <c r="D661" s="58"/>
      <c r="E661" s="4"/>
      <c r="F661" s="4"/>
      <c r="G661" s="4"/>
      <c r="H661" s="4"/>
      <c r="I661" s="4"/>
    </row>
    <row r="662" spans="1:11" x14ac:dyDescent="0.2">
      <c r="A662" s="327" t="s">
        <v>1235</v>
      </c>
      <c r="B662" s="328"/>
      <c r="C662" s="329"/>
      <c r="D662" s="58"/>
      <c r="E662" s="4"/>
      <c r="F662" s="4"/>
      <c r="G662" s="4"/>
      <c r="H662" s="4"/>
      <c r="I662" s="4"/>
    </row>
    <row r="663" spans="1:11" x14ac:dyDescent="0.2">
      <c r="A663" s="327" t="s">
        <v>1236</v>
      </c>
      <c r="B663" s="328"/>
      <c r="C663" s="329"/>
      <c r="D663" s="58"/>
      <c r="E663" s="4"/>
      <c r="F663" s="4"/>
      <c r="G663" s="4"/>
      <c r="H663" s="4"/>
      <c r="I663" s="4"/>
    </row>
    <row r="664" spans="1:11" x14ac:dyDescent="0.2">
      <c r="A664" s="327" t="s">
        <v>1237</v>
      </c>
      <c r="B664" s="328"/>
      <c r="C664" s="329"/>
      <c r="D664" s="58"/>
      <c r="E664" s="4"/>
      <c r="F664" s="4"/>
      <c r="G664" s="4"/>
      <c r="H664" s="4"/>
      <c r="I664" s="4"/>
    </row>
    <row r="665" spans="1:11" x14ac:dyDescent="0.2">
      <c r="A665" s="213"/>
      <c r="B665" s="214"/>
      <c r="C665" s="215"/>
      <c r="D665" s="58"/>
      <c r="E665" s="4"/>
      <c r="F665" s="4"/>
      <c r="G665" s="4"/>
      <c r="H665" s="4"/>
      <c r="I665" s="4"/>
    </row>
  </sheetData>
  <mergeCells count="12">
    <mergeCell ref="A662:C662"/>
    <mergeCell ref="A663:C663"/>
    <mergeCell ref="A664:C664"/>
    <mergeCell ref="A1:I1"/>
    <mergeCell ref="A650:C650"/>
    <mergeCell ref="A660:C660"/>
    <mergeCell ref="A661:C661"/>
    <mergeCell ref="A3:K3"/>
    <mergeCell ref="A6:K6"/>
    <mergeCell ref="A15:K15"/>
    <mergeCell ref="K141:K142"/>
    <mergeCell ref="E428:K428"/>
  </mergeCells>
  <conditionalFormatting sqref="A33">
    <cfRule type="expression" dxfId="73" priority="72" stopIfTrue="1">
      <formula>AND(E33="s",F33="n")</formula>
    </cfRule>
  </conditionalFormatting>
  <conditionalFormatting sqref="C55">
    <cfRule type="expression" dxfId="72" priority="43" stopIfTrue="1">
      <formula>AND(G55="s",H55="n")</formula>
    </cfRule>
  </conditionalFormatting>
  <conditionalFormatting sqref="C89:C107">
    <cfRule type="expression" dxfId="71" priority="38" stopIfTrue="1">
      <formula>AND(F89="s",G89="n")</formula>
    </cfRule>
  </conditionalFormatting>
  <conditionalFormatting sqref="C110:C121">
    <cfRule type="expression" dxfId="70" priority="70" stopIfTrue="1">
      <formula>AND(F110="s",G110="n")</formula>
    </cfRule>
  </conditionalFormatting>
  <conditionalFormatting sqref="C124:C135">
    <cfRule type="expression" dxfId="69" priority="69" stopIfTrue="1">
      <formula>AND(F124="s",G124="n")</formula>
    </cfRule>
  </conditionalFormatting>
  <conditionalFormatting sqref="C138">
    <cfRule type="expression" dxfId="68" priority="34" stopIfTrue="1">
      <formula>AND(F138="s",G138="n")</formula>
    </cfRule>
  </conditionalFormatting>
  <conditionalFormatting sqref="C146:C163">
    <cfRule type="expression" dxfId="67" priority="141" stopIfTrue="1">
      <formula>AND(F146="s",G146="n")</formula>
    </cfRule>
  </conditionalFormatting>
  <conditionalFormatting sqref="C164">
    <cfRule type="expression" dxfId="66" priority="85" stopIfTrue="1">
      <formula>AND(#REF!="s",G164="n")</formula>
    </cfRule>
  </conditionalFormatting>
  <conditionalFormatting sqref="C165:C170">
    <cfRule type="expression" dxfId="65" priority="32" stopIfTrue="1">
      <formula>AND(F165="s",G165="n")</formula>
    </cfRule>
  </conditionalFormatting>
  <conditionalFormatting sqref="C173:C185">
    <cfRule type="expression" dxfId="64" priority="30" stopIfTrue="1">
      <formula>AND(F173="s",G173="n")</formula>
    </cfRule>
  </conditionalFormatting>
  <conditionalFormatting sqref="C188:C194">
    <cfRule type="expression" dxfId="63" priority="28" stopIfTrue="1">
      <formula>AND(F188="s",G188="n")</formula>
    </cfRule>
  </conditionalFormatting>
  <conditionalFormatting sqref="C197 C199:C202 C204:C207 C209:C212 C214:C219">
    <cfRule type="expression" dxfId="62" priority="136" stopIfTrue="1">
      <formula>AND(F197="s",G197="n")</formula>
    </cfRule>
  </conditionalFormatting>
  <conditionalFormatting sqref="C225 C227:C230 C233">
    <cfRule type="expression" dxfId="61" priority="134" stopIfTrue="1">
      <formula>AND(F225="s",G225="n")</formula>
    </cfRule>
  </conditionalFormatting>
  <conditionalFormatting sqref="C235:C239">
    <cfRule type="expression" dxfId="60" priority="68" stopIfTrue="1">
      <formula>AND(F235="s",G235="n")</formula>
    </cfRule>
  </conditionalFormatting>
  <conditionalFormatting sqref="C239:C241 C198 C203 C208 C213 C226 C234 C326 C335 C339 C452">
    <cfRule type="expression" dxfId="59" priority="164" stopIfTrue="1">
      <formula>AND(#REF!="s",#REF!="n")</formula>
    </cfRule>
  </conditionalFormatting>
  <conditionalFormatting sqref="C240:C241 A180:C185 C291:C297 C340:C366 C412 C617:C618 C642">
    <cfRule type="expression" dxfId="58" priority="165" stopIfTrue="1">
      <formula>AND(D180="s",E180="n")</formula>
    </cfRule>
  </conditionalFormatting>
  <conditionalFormatting sqref="C241">
    <cfRule type="expression" dxfId="57" priority="17" stopIfTrue="1">
      <formula>AND(F241="s",G241="n")</formula>
    </cfRule>
  </conditionalFormatting>
  <conditionalFormatting sqref="C248:C250 C253:C255">
    <cfRule type="expression" dxfId="56" priority="130" stopIfTrue="1">
      <formula>AND(F248="s",G248="n")</formula>
    </cfRule>
  </conditionalFormatting>
  <conditionalFormatting sqref="C257:C268">
    <cfRule type="expression" dxfId="55" priority="4" stopIfTrue="1">
      <formula>AND(F257="s",G257="n")</formula>
    </cfRule>
  </conditionalFormatting>
  <conditionalFormatting sqref="C270:C281">
    <cfRule type="expression" dxfId="54" priority="126" stopIfTrue="1">
      <formula>AND(F270="s",G270="n")</formula>
    </cfRule>
  </conditionalFormatting>
  <conditionalFormatting sqref="C284:C288">
    <cfRule type="expression" dxfId="53" priority="124" stopIfTrue="1">
      <formula>AND(F284="s",G284="n")</formula>
    </cfRule>
  </conditionalFormatting>
  <conditionalFormatting sqref="C300:C305">
    <cfRule type="expression" dxfId="52" priority="122" stopIfTrue="1">
      <formula>AND(F300="s",G300="n")</formula>
    </cfRule>
  </conditionalFormatting>
  <conditionalFormatting sqref="C308:C314 C317:C322">
    <cfRule type="expression" dxfId="51" priority="120" stopIfTrue="1">
      <formula>AND(F308="s",G308="n")</formula>
    </cfRule>
  </conditionalFormatting>
  <conditionalFormatting sqref="C325 C327:C330">
    <cfRule type="expression" dxfId="50" priority="118" stopIfTrue="1">
      <formula>AND(F325="s",G325="n")</formula>
    </cfRule>
  </conditionalFormatting>
  <conditionalFormatting sqref="C334">
    <cfRule type="expression" dxfId="49" priority="106" stopIfTrue="1">
      <formula>AND(F334="s",G334="n")</formula>
    </cfRule>
  </conditionalFormatting>
  <conditionalFormatting sqref="C338">
    <cfRule type="expression" dxfId="48" priority="117" stopIfTrue="1">
      <formula>AND(F338="s",G338="n")</formula>
    </cfRule>
  </conditionalFormatting>
  <conditionalFormatting sqref="C370:C372 C375:C377">
    <cfRule type="expression" dxfId="47" priority="54" stopIfTrue="1">
      <formula>AND(F370="s",G370="n")</formula>
    </cfRule>
  </conditionalFormatting>
  <conditionalFormatting sqref="C379:C410">
    <cfRule type="expression" dxfId="46" priority="56" stopIfTrue="1">
      <formula>AND(F379="s",G379="n")</formula>
    </cfRule>
  </conditionalFormatting>
  <conditionalFormatting sqref="C411">
    <cfRule type="expression" dxfId="45" priority="59" stopIfTrue="1">
      <formula>AND(F413="s",G411="n")</formula>
    </cfRule>
  </conditionalFormatting>
  <conditionalFormatting sqref="C413">
    <cfRule type="expression" dxfId="44" priority="58" stopIfTrue="1">
      <formula>AND(#REF!="s",G413="n")</formula>
    </cfRule>
  </conditionalFormatting>
  <conditionalFormatting sqref="C414:C430">
    <cfRule type="expression" dxfId="43" priority="26" stopIfTrue="1">
      <formula>AND(F414="s",G414="n")</formula>
    </cfRule>
  </conditionalFormatting>
  <conditionalFormatting sqref="C415 C419 C425 D629">
    <cfRule type="expression" dxfId="42" priority="179" stopIfTrue="1">
      <formula>AND(#REF!="s",#REF!="n")</formula>
    </cfRule>
  </conditionalFormatting>
  <conditionalFormatting sqref="C434:C449">
    <cfRule type="expression" dxfId="41" priority="3" stopIfTrue="1">
      <formula>AND(F434="s",G434="n")</formula>
    </cfRule>
  </conditionalFormatting>
  <conditionalFormatting sqref="C453:C472">
    <cfRule type="expression" dxfId="40" priority="1" stopIfTrue="1">
      <formula>AND(F453="s",G453="n")</formula>
    </cfRule>
  </conditionalFormatting>
  <conditionalFormatting sqref="C475">
    <cfRule type="expression" dxfId="39" priority="163" stopIfTrue="1">
      <formula>AND(#REF!="s",#REF!="n")</formula>
    </cfRule>
  </conditionalFormatting>
  <conditionalFormatting sqref="C476:C481">
    <cfRule type="expression" dxfId="38" priority="113" stopIfTrue="1">
      <formula>AND(F476="s",G476="n")</formula>
    </cfRule>
  </conditionalFormatting>
  <conditionalFormatting sqref="C484:C491 C494:C499 C502:C507 C512:C518">
    <cfRule type="expression" dxfId="37" priority="111" stopIfTrue="1">
      <formula>AND(F484="s",G484="n")</formula>
    </cfRule>
  </conditionalFormatting>
  <conditionalFormatting sqref="C524:C528">
    <cfRule type="expression" dxfId="36" priority="64" stopIfTrue="1">
      <formula>AND(F524="s",G524="n")</formula>
    </cfRule>
  </conditionalFormatting>
  <conditionalFormatting sqref="C532:C535">
    <cfRule type="expression" dxfId="35" priority="61" stopIfTrue="1">
      <formula>AND(F532="s",G532="n")</formula>
    </cfRule>
  </conditionalFormatting>
  <conditionalFormatting sqref="C546 C549 C552:C553 C556:C557 C560:C562 C565:C566 C569:C570">
    <cfRule type="expression" dxfId="34" priority="109" stopIfTrue="1">
      <formula>AND(F546="s",G546="n")</formula>
    </cfRule>
  </conditionalFormatting>
  <conditionalFormatting sqref="C605:C614">
    <cfRule type="expression" dxfId="33" priority="105" stopIfTrue="1">
      <formula>AND(F605="s",G605="n")</formula>
    </cfRule>
  </conditionalFormatting>
  <conditionalFormatting sqref="C620">
    <cfRule type="expression" dxfId="32" priority="101" stopIfTrue="1">
      <formula>AND(F620="s",G620="n")</formula>
    </cfRule>
  </conditionalFormatting>
  <conditionalFormatting sqref="C36:D59">
    <cfRule type="expression" dxfId="31" priority="42" stopIfTrue="1">
      <formula>AND(G36="s",H36="n")</formula>
    </cfRule>
  </conditionalFormatting>
  <conditionalFormatting sqref="C620:D620">
    <cfRule type="expression" dxfId="30" priority="102" stopIfTrue="1">
      <formula>AND(G620="s",H620="n")</formula>
    </cfRule>
  </conditionalFormatting>
  <conditionalFormatting sqref="C641:D642 C606:C613 C18:C34 C67:D86 A86:C86 C88 D180:K185 D291:D293 D317:D318 D338:D366 D475:D481 D494:D499 D502:D507 D512:D518 D546 D552:D553 D556:D557 D560:D562 D565:D566 D569:D570 C580:D586 C592:C600 D617:D618 C623:D628 D631:D639 C635:C639 C644:D646">
    <cfRule type="expression" dxfId="29" priority="166" stopIfTrue="1">
      <formula>AND(E18="s",F18="n")</formula>
    </cfRule>
  </conditionalFormatting>
  <conditionalFormatting sqref="D88:D107">
    <cfRule type="expression" dxfId="28" priority="39" stopIfTrue="1">
      <formula>AND(H88="s",I88="n")</formula>
    </cfRule>
  </conditionalFormatting>
  <conditionalFormatting sqref="D110:D121">
    <cfRule type="expression" dxfId="27" priority="148" stopIfTrue="1">
      <formula>AND(H110="s",I110="n")</formula>
    </cfRule>
  </conditionalFormatting>
  <conditionalFormatting sqref="D124:D135">
    <cfRule type="expression" dxfId="26" priority="144" stopIfTrue="1">
      <formula>AND(H124="s",I124="n")</formula>
    </cfRule>
  </conditionalFormatting>
  <conditionalFormatting sqref="D138">
    <cfRule type="expression" dxfId="25" priority="35" stopIfTrue="1">
      <formula>AND(H138="s",I138="n")</formula>
    </cfRule>
  </conditionalFormatting>
  <conditionalFormatting sqref="D146:D154">
    <cfRule type="expression" dxfId="24" priority="142" stopIfTrue="1">
      <formula>AND(H146="s",I146="n")</formula>
    </cfRule>
  </conditionalFormatting>
  <conditionalFormatting sqref="D173:D185">
    <cfRule type="expression" dxfId="23" priority="31" stopIfTrue="1">
      <formula>AND(H173="s",I173="n")</formula>
    </cfRule>
  </conditionalFormatting>
  <conditionalFormatting sqref="D188:D194">
    <cfRule type="expression" dxfId="22" priority="29" stopIfTrue="1">
      <formula>AND(H188="s",I188="n")</formula>
    </cfRule>
  </conditionalFormatting>
  <conditionalFormatting sqref="D197:D219">
    <cfRule type="expression" dxfId="21" priority="137" stopIfTrue="1">
      <formula>AND(H197="s",I197="n")</formula>
    </cfRule>
  </conditionalFormatting>
  <conditionalFormatting sqref="D225:D230">
    <cfRule type="expression" dxfId="20" priority="135" stopIfTrue="1">
      <formula>AND(H225="s",I225="n")</formula>
    </cfRule>
  </conditionalFormatting>
  <conditionalFormatting sqref="D233:D241">
    <cfRule type="expression" dxfId="19" priority="18" stopIfTrue="1">
      <formula>AND(H233="s",I233="n")</formula>
    </cfRule>
  </conditionalFormatting>
  <conditionalFormatting sqref="D247:D250">
    <cfRule type="expression" dxfId="18" priority="14" stopIfTrue="1">
      <formula>AND(H247="s",I247="n")</formula>
    </cfRule>
  </conditionalFormatting>
  <conditionalFormatting sqref="D253:D255">
    <cfRule type="expression" dxfId="17" priority="11" stopIfTrue="1">
      <formula>AND(H253="s",I253="n")</formula>
    </cfRule>
  </conditionalFormatting>
  <conditionalFormatting sqref="D257:D268">
    <cfRule type="expression" dxfId="16" priority="5" stopIfTrue="1">
      <formula>AND(H257="s",I257="n")</formula>
    </cfRule>
  </conditionalFormatting>
  <conditionalFormatting sqref="D270:D281">
    <cfRule type="expression" dxfId="15" priority="127" stopIfTrue="1">
      <formula>AND(H270="s",I270="n")</formula>
    </cfRule>
  </conditionalFormatting>
  <conditionalFormatting sqref="D284:D286">
    <cfRule type="expression" dxfId="14" priority="125" stopIfTrue="1">
      <formula>AND(H284="s",I284="n")</formula>
    </cfRule>
  </conditionalFormatting>
  <conditionalFormatting sqref="D300:D301">
    <cfRule type="expression" dxfId="13" priority="123" stopIfTrue="1">
      <formula>AND(H300="s",I300="n")</formula>
    </cfRule>
  </conditionalFormatting>
  <conditionalFormatting sqref="D308:D310">
    <cfRule type="expression" dxfId="12" priority="121" stopIfTrue="1">
      <formula>AND(H308="s",I308="n")</formula>
    </cfRule>
  </conditionalFormatting>
  <conditionalFormatting sqref="D325:D330">
    <cfRule type="expression" dxfId="11" priority="119" stopIfTrue="1">
      <formula>AND(H325="s",I325="n")</formula>
    </cfRule>
  </conditionalFormatting>
  <conditionalFormatting sqref="D334:D335">
    <cfRule type="expression" dxfId="10" priority="107" stopIfTrue="1">
      <formula>AND(H334="s",I334="n")</formula>
    </cfRule>
  </conditionalFormatting>
  <conditionalFormatting sqref="D369:D372 D375:D377">
    <cfRule type="expression" dxfId="9" priority="55" stopIfTrue="1">
      <formula>AND(H369="s",I369="n")</formula>
    </cfRule>
  </conditionalFormatting>
  <conditionalFormatting sqref="D379:D430">
    <cfRule type="expression" dxfId="8" priority="19" stopIfTrue="1">
      <formula>AND(H379="s",I379="n")</formula>
    </cfRule>
  </conditionalFormatting>
  <conditionalFormatting sqref="D434:D449">
    <cfRule type="expression" dxfId="7" priority="116" stopIfTrue="1">
      <formula>AND(H434="s",I434="n")</formula>
    </cfRule>
  </conditionalFormatting>
  <conditionalFormatting sqref="D452:D472">
    <cfRule type="expression" dxfId="6" priority="2" stopIfTrue="1">
      <formula>AND(H452="s",I452="n")</formula>
    </cfRule>
  </conditionalFormatting>
  <conditionalFormatting sqref="D484:D491">
    <cfRule type="expression" dxfId="5" priority="112" stopIfTrue="1">
      <formula>AND(H484="s",I484="n")</formula>
    </cfRule>
  </conditionalFormatting>
  <conditionalFormatting sqref="D524:D528">
    <cfRule type="expression" dxfId="4" priority="65" stopIfTrue="1">
      <formula>AND(H524="s",I524="n")</formula>
    </cfRule>
  </conditionalFormatting>
  <conditionalFormatting sqref="D532:D535">
    <cfRule type="expression" dxfId="3" priority="62" stopIfTrue="1">
      <formula>AND(H532="s",I532="n")</formula>
    </cfRule>
  </conditionalFormatting>
  <conditionalFormatting sqref="D549">
    <cfRule type="expression" dxfId="2" priority="110" stopIfTrue="1">
      <formula>AND(H549="s",I549="n")</formula>
    </cfRule>
  </conditionalFormatting>
  <conditionalFormatting sqref="D587:D600">
    <cfRule type="expression" dxfId="1" priority="156" stopIfTrue="1">
      <formula>AND(H587="s",I587="n")</formula>
    </cfRule>
  </conditionalFormatting>
  <conditionalFormatting sqref="E33:F33">
    <cfRule type="expression" dxfId="0" priority="74" stopIfTrue="1">
      <formula>AND(I33="s",J33="n")</formula>
    </cfRule>
  </conditionalFormatting>
  <printOptions horizontalCentered="1"/>
  <pageMargins left="0.27559055118110237" right="0.23622047244094491" top="0.19685039370078741" bottom="0.39370078740157483" header="0.19685039370078741" footer="0.19685039370078741"/>
  <pageSetup paperSize="8" scale="83" fitToWidth="15" fitToHeight="18" orientation="landscape" verticalDpi="300" r:id="rId1"/>
  <headerFooter alignWithMargins="0">
    <oddHeader>&amp;L&amp;"Calibri"&amp;10&amp;K000000 General Business&amp;1#_x000D_</oddHeader>
    <oddFooter>&amp;L&amp;"Arial,Negrito itálico"&amp;8Arquivo: &amp;A - &amp;F&amp;R&amp;"Arial,Negrito"&amp;8Página: &amp;P de &amp;N</oddFooter>
  </headerFooter>
  <rowBreaks count="5" manualBreakCount="5">
    <brk id="51" max="16383" man="1"/>
    <brk id="159" max="16383" man="1"/>
    <brk id="207" max="16383" man="1"/>
    <brk id="277" max="16383" man="1"/>
    <brk id="356"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
  <sheetViews>
    <sheetView workbookViewId="0">
      <selection activeCell="F19" sqref="F19"/>
    </sheetView>
  </sheetViews>
  <sheetFormatPr defaultRowHeight="12.75" x14ac:dyDescent="0.2"/>
  <cols>
    <col min="1" max="1" width="7" customWidth="1"/>
    <col min="2" max="2" width="29.85546875" customWidth="1"/>
    <col min="3" max="3" width="34.42578125" customWidth="1"/>
    <col min="4" max="4" width="43.5703125" customWidth="1"/>
  </cols>
  <sheetData>
    <row r="1" spans="1:4" ht="16.5" thickBot="1" x14ac:dyDescent="0.3">
      <c r="A1" s="42" t="s">
        <v>1446</v>
      </c>
    </row>
    <row r="2" spans="1:4" ht="13.5" thickBot="1" x14ac:dyDescent="0.25">
      <c r="A2" s="43" t="s">
        <v>1447</v>
      </c>
      <c r="B2" s="44" t="s">
        <v>1448</v>
      </c>
      <c r="C2" s="44" t="s">
        <v>1449</v>
      </c>
      <c r="D2" s="44" t="s">
        <v>1450</v>
      </c>
    </row>
    <row r="3" spans="1:4" ht="13.5" thickBot="1" x14ac:dyDescent="0.25">
      <c r="A3" s="45">
        <v>34</v>
      </c>
      <c r="B3" s="46" t="s">
        <v>1451</v>
      </c>
      <c r="C3" s="46" t="s">
        <v>1452</v>
      </c>
      <c r="D3" s="46" t="s">
        <v>1451</v>
      </c>
    </row>
    <row r="4" spans="1:4" ht="26.25" thickBot="1" x14ac:dyDescent="0.25">
      <c r="A4" s="45">
        <v>35</v>
      </c>
      <c r="B4" s="46" t="s">
        <v>1453</v>
      </c>
      <c r="C4" s="46" t="s">
        <v>1454</v>
      </c>
      <c r="D4" s="46" t="s">
        <v>1454</v>
      </c>
    </row>
    <row r="5" spans="1:4" ht="13.5" thickBot="1" x14ac:dyDescent="0.25">
      <c r="A5" s="45">
        <v>80</v>
      </c>
      <c r="B5" s="46" t="s">
        <v>1455</v>
      </c>
      <c r="C5" s="46" t="s">
        <v>1455</v>
      </c>
      <c r="D5" s="46" t="s">
        <v>1455</v>
      </c>
    </row>
    <row r="6" spans="1:4" ht="13.5" thickBot="1" x14ac:dyDescent="0.25">
      <c r="A6" s="45">
        <v>81</v>
      </c>
      <c r="B6" s="46" t="s">
        <v>1456</v>
      </c>
      <c r="C6" s="46" t="s">
        <v>1456</v>
      </c>
      <c r="D6" s="46" t="s">
        <v>1456</v>
      </c>
    </row>
    <row r="7" spans="1:4" ht="13.5" thickBot="1" x14ac:dyDescent="0.25">
      <c r="A7" s="45">
        <v>91</v>
      </c>
      <c r="B7" s="46" t="s">
        <v>1457</v>
      </c>
      <c r="C7" s="46" t="s">
        <v>1455</v>
      </c>
      <c r="D7" s="46" t="s">
        <v>1455</v>
      </c>
    </row>
    <row r="8" spans="1:4" x14ac:dyDescent="0.2">
      <c r="A8" s="47"/>
    </row>
  </sheetData>
  <pageMargins left="0.511811024" right="0.511811024" top="0.78740157499999996" bottom="0.78740157499999996" header="0.31496062000000002" footer="0.31496062000000002"/>
  <pageSetup paperSize="9" orientation="portrait" r:id="rId1"/>
  <headerFooter>
    <oddHeader>&amp;L&amp;"Calibri"&amp;10&amp;K000000 General Business&amp;1#_x000D_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
  <sheetViews>
    <sheetView workbookViewId="0">
      <selection activeCell="C13" sqref="C13"/>
    </sheetView>
  </sheetViews>
  <sheetFormatPr defaultRowHeight="12.75" x14ac:dyDescent="0.2"/>
  <cols>
    <col min="1" max="1" width="7" customWidth="1"/>
    <col min="2" max="2" width="29.85546875" customWidth="1"/>
    <col min="3" max="3" width="34.42578125" customWidth="1"/>
    <col min="4" max="4" width="43.5703125" customWidth="1"/>
  </cols>
  <sheetData>
    <row r="1" spans="1:4" ht="16.5" thickBot="1" x14ac:dyDescent="0.3">
      <c r="A1" s="42" t="s">
        <v>1446</v>
      </c>
    </row>
    <row r="2" spans="1:4" ht="13.5" thickBot="1" x14ac:dyDescent="0.25">
      <c r="A2" s="43" t="s">
        <v>1447</v>
      </c>
      <c r="B2" s="44" t="s">
        <v>1448</v>
      </c>
      <c r="C2" s="44" t="s">
        <v>1449</v>
      </c>
      <c r="D2" s="44" t="s">
        <v>1450</v>
      </c>
    </row>
    <row r="3" spans="1:4" ht="13.5" thickBot="1" x14ac:dyDescent="0.25">
      <c r="A3" s="45">
        <v>34</v>
      </c>
      <c r="B3" s="46" t="s">
        <v>1451</v>
      </c>
      <c r="C3" s="46" t="s">
        <v>1451</v>
      </c>
      <c r="D3" s="46" t="s">
        <v>1451</v>
      </c>
    </row>
    <row r="4" spans="1:4" ht="13.5" thickBot="1" x14ac:dyDescent="0.25">
      <c r="A4" s="45">
        <v>35</v>
      </c>
      <c r="B4" s="46" t="s">
        <v>1458</v>
      </c>
      <c r="C4" s="46" t="s">
        <v>1459</v>
      </c>
      <c r="D4" s="46" t="s">
        <v>1454</v>
      </c>
    </row>
    <row r="5" spans="1:4" ht="26.25" thickBot="1" x14ac:dyDescent="0.25">
      <c r="A5" s="45">
        <v>80</v>
      </c>
      <c r="B5" s="46" t="s">
        <v>1460</v>
      </c>
      <c r="C5" s="46" t="s">
        <v>1460</v>
      </c>
      <c r="D5" s="46" t="s">
        <v>1460</v>
      </c>
    </row>
    <row r="6" spans="1:4" ht="13.5" thickBot="1" x14ac:dyDescent="0.25">
      <c r="A6" s="45">
        <v>81</v>
      </c>
      <c r="B6" s="46" t="s">
        <v>1456</v>
      </c>
      <c r="C6" s="46" t="s">
        <v>1456</v>
      </c>
      <c r="D6" s="46" t="s">
        <v>1456</v>
      </c>
    </row>
    <row r="7" spans="1:4" ht="13.5" thickBot="1" x14ac:dyDescent="0.25">
      <c r="A7" s="45">
        <v>91</v>
      </c>
      <c r="B7" s="46" t="s">
        <v>1457</v>
      </c>
      <c r="C7" s="46" t="s">
        <v>1461</v>
      </c>
      <c r="D7" s="46" t="s">
        <v>1454</v>
      </c>
    </row>
    <row r="8" spans="1:4" x14ac:dyDescent="0.2">
      <c r="A8" s="47"/>
    </row>
  </sheetData>
  <pageMargins left="0.511811024" right="0.511811024" top="0.78740157499999996" bottom="0.78740157499999996" header="0.31496062000000002" footer="0.31496062000000002"/>
  <headerFooter>
    <oddHeader>&amp;L&amp;"Calibri"&amp;10&amp;K000000 General Business&amp;1#_x000D_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2551C5E03A6547AD6D89BFA32D969A" ma:contentTypeVersion="15" ma:contentTypeDescription="Create a new document." ma:contentTypeScope="" ma:versionID="d5937367bb76d20962c004aff27076c2">
  <xsd:schema xmlns:xsd="http://www.w3.org/2001/XMLSchema" xmlns:xs="http://www.w3.org/2001/XMLSchema" xmlns:p="http://schemas.microsoft.com/office/2006/metadata/properties" xmlns:ns2="3889b527-014c-481a-8e5a-0c668d0a1265" xmlns:ns3="e3ece353-1353-4ad9-9fee-8671cbf750bd" targetNamespace="http://schemas.microsoft.com/office/2006/metadata/properties" ma:root="true" ma:fieldsID="9c0d7518319ec3421fbcf4506ea414af" ns2:_="" ns3:_="">
    <xsd:import namespace="3889b527-014c-481a-8e5a-0c668d0a1265"/>
    <xsd:import namespace="e3ece353-1353-4ad9-9fee-8671cbf750b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89b527-014c-481a-8e5a-0c668d0a12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e01fe9-7544-41a4-a580-fcdea151b32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3ece353-1353-4ad9-9fee-8671cbf750bd"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6c108fe0-e76c-48bd-9b15-2b27d2eb7180}" ma:internalName="TaxCatchAll" ma:showField="CatchAllData" ma:web="e3ece353-1353-4ad9-9fee-8671cbf750bd">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18fbfd49-c8e6-4618-a77f-5ef25245836c">
  <element uid="1239ecc3-00e0-482b-a8a4-82e46943bfcc" value=""/>
</sis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e3ece353-1353-4ad9-9fee-8671cbf750bd" xsi:nil="true"/>
    <lcf76f155ced4ddcb4097134ff3c332f xmlns="3889b527-014c-481a-8e5a-0c668d0a12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44B498-CD64-43D7-AC0F-3C86F4121B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89b527-014c-481a-8e5a-0c668d0a1265"/>
    <ds:schemaRef ds:uri="e3ece353-1353-4ad9-9fee-8671cbf750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F7A6DF8-1395-4131-8273-AC4EC9BC189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657A0486-516A-410D-9AFE-332CF6C12749}">
  <ds:schemaRefs>
    <ds:schemaRef ds:uri="http://schemas.microsoft.com/sharepoint/v3/contenttype/forms"/>
  </ds:schemaRefs>
</ds:datastoreItem>
</file>

<file path=customXml/itemProps4.xml><?xml version="1.0" encoding="utf-8"?>
<ds:datastoreItem xmlns:ds="http://schemas.openxmlformats.org/officeDocument/2006/customXml" ds:itemID="{9AE7C783-720D-445F-B896-239C801A0BF2}">
  <ds:schemaRefs>
    <ds:schemaRef ds:uri="http://schemas.microsoft.com/office/2006/metadata/properties"/>
    <ds:schemaRef ds:uri="http://schemas.microsoft.com/office/infopath/2007/PartnerControls"/>
    <ds:schemaRef ds:uri="e3ece353-1353-4ad9-9fee-8671cbf750bd"/>
    <ds:schemaRef ds:uri="3889b527-014c-481a-8e5a-0c668d0a126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11</vt:i4>
      </vt:variant>
      <vt:variant>
        <vt:lpstr>Intervalos Nomeados</vt:lpstr>
      </vt:variant>
      <vt:variant>
        <vt:i4>3</vt:i4>
      </vt:variant>
    </vt:vector>
  </HeadingPairs>
  <TitlesOfParts>
    <vt:vector size="14" baseType="lpstr">
      <vt:lpstr>Diagrama-File</vt:lpstr>
      <vt:lpstr>Layout-Emissão-XML-4.00</vt:lpstr>
      <vt:lpstr>Planilha4</vt:lpstr>
      <vt:lpstr>Planilha2</vt:lpstr>
      <vt:lpstr>Planilha3</vt:lpstr>
      <vt:lpstr>Planilha1</vt:lpstr>
      <vt:lpstr>Detalhe-CST-ICMS</vt:lpstr>
      <vt:lpstr>Regra-CST 40 41 e 50</vt:lpstr>
      <vt:lpstr>Layout-Receb-XML-3.10</vt:lpstr>
      <vt:lpstr>LogicaANFAVEA_Marelli</vt:lpstr>
      <vt:lpstr>LogicaANFAVEA_Teksid</vt:lpstr>
      <vt:lpstr>'Diagrama-File'!Area_de_impressao</vt:lpstr>
      <vt:lpstr>'Layout-Emissão-XML-4.00'!Titulos_de_impressao</vt:lpstr>
      <vt:lpstr>'Layout-Receb-XML-3.10'!Titulos_de_impressao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BRGE001644</dc:creator>
  <cp:keywords/>
  <dc:description/>
  <cp:lastModifiedBy>FIALHO Leonardo (CNH)</cp:lastModifiedBy>
  <cp:revision/>
  <dcterms:created xsi:type="dcterms:W3CDTF">2007-06-19T18:59:20Z</dcterms:created>
  <dcterms:modified xsi:type="dcterms:W3CDTF">2025-10-09T14:03:42Z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0x010100882551C5E03A6547AD6D89BFA32D969A</vt:lpwstr>
  </property>
  <property fmtid="{D5CDD505-2E9C-101B-9397-08002B2CF9AE}" pid="3" name="docIndexRef">
    <vt:lpwstr>63cee15f-7689-48bf-87c5-a87bc25b1152</vt:lpwstr>
  </property>
  <property fmtid="{D5CDD505-2E9C-101B-9397-08002B2CF9AE}" pid="4" name="bjSaver">
    <vt:lpwstr>kQ/cdibdO68ljkHU384C/nmbw5BLQscn</vt:lpwstr>
  </property>
  <property fmtid="{D5CDD505-2E9C-101B-9397-08002B2CF9AE}" pid="5" name="bjDocumentLabelXML">
    <vt:lpwstr>&lt;?xml version="1.0" encoding="us-ascii"?&gt;&lt;sisl xmlns:xsi="http://www.w3.org/2001/XMLSchema-instance" xmlns:xsd="http://www.w3.org/2001/XMLSchema" sislVersion="0" policy="18fbfd49-c8e6-4618-a77f-5ef25245836c" xmlns="http://www.boldonjames.com/2008/01/sie/i</vt:lpwstr>
  </property>
  <property fmtid="{D5CDD505-2E9C-101B-9397-08002B2CF9AE}" pid="6" name="bjDocumentLabelXML-0">
    <vt:lpwstr>nternal/label"&gt;&lt;element uid="1239ecc3-00e0-482b-a8a4-82e46943bfcc" value="" /&gt;&lt;/sisl&gt;</vt:lpwstr>
  </property>
  <property fmtid="{D5CDD505-2E9C-101B-9397-08002B2CF9AE}" pid="7" name="bjDocumentSecurityLabel">
    <vt:lpwstr>CNH Industrial: PUBLIC [No prejudice to Company from disclosure.]</vt:lpwstr>
  </property>
  <property fmtid="{D5CDD505-2E9C-101B-9397-08002B2CF9AE}" pid="8" name="CNH-LabelledBy:">
    <vt:lpwstr>F41264C,17/07/2018 12:12:44,PUBLIC</vt:lpwstr>
  </property>
  <property fmtid="{D5CDD505-2E9C-101B-9397-08002B2CF9AE}" pid="9" name="CNH-Classification">
    <vt:lpwstr>[PUBLIC]</vt:lpwstr>
  </property>
  <property fmtid="{D5CDD505-2E9C-101B-9397-08002B2CF9AE}" pid="10" name="MSIP_Label_7feb0fb4-c8a5-4461-a7eb-fddbf6a063ea_Enabled">
    <vt:lpwstr>true</vt:lpwstr>
  </property>
  <property fmtid="{D5CDD505-2E9C-101B-9397-08002B2CF9AE}" pid="11" name="MSIP_Label_7feb0fb4-c8a5-4461-a7eb-fddbf6a063ea_SetDate">
    <vt:lpwstr>2024-09-25T12:33:54Z</vt:lpwstr>
  </property>
  <property fmtid="{D5CDD505-2E9C-101B-9397-08002B2CF9AE}" pid="12" name="MSIP_Label_7feb0fb4-c8a5-4461-a7eb-fddbf6a063ea_Method">
    <vt:lpwstr>Standard</vt:lpwstr>
  </property>
  <property fmtid="{D5CDD505-2E9C-101B-9397-08002B2CF9AE}" pid="13" name="MSIP_Label_7feb0fb4-c8a5-4461-a7eb-fddbf6a063ea_Name">
    <vt:lpwstr>General Business</vt:lpwstr>
  </property>
  <property fmtid="{D5CDD505-2E9C-101B-9397-08002B2CF9AE}" pid="14" name="MSIP_Label_7feb0fb4-c8a5-4461-a7eb-fddbf6a063ea_SiteId">
    <vt:lpwstr>79310fb0-d39b-486b-b77b-25f3e0c82a0e</vt:lpwstr>
  </property>
  <property fmtid="{D5CDD505-2E9C-101B-9397-08002B2CF9AE}" pid="15" name="MSIP_Label_7feb0fb4-c8a5-4461-a7eb-fddbf6a063ea_ActionId">
    <vt:lpwstr>973d4d05-62a3-40cf-9ff7-1801f6fb56ba</vt:lpwstr>
  </property>
  <property fmtid="{D5CDD505-2E9C-101B-9397-08002B2CF9AE}" pid="16" name="MSIP_Label_7feb0fb4-c8a5-4461-a7eb-fddbf6a063ea_ContentBits">
    <vt:lpwstr>1</vt:lpwstr>
  </property>
</Properties>
</file>